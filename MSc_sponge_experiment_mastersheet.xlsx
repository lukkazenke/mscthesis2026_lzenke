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wnloads\"/>
    </mc:Choice>
  </mc:AlternateContent>
  <xr:revisionPtr revIDLastSave="0" documentId="8_{D4996554-A911-42B4-A263-B4DF94BF0797}" xr6:coauthVersionLast="47" xr6:coauthVersionMax="47" xr10:uidLastSave="{00000000-0000-0000-0000-000000000000}"/>
  <bookViews>
    <workbookView xWindow="90" yWindow="330" windowWidth="27075" windowHeight="14790" activeTab="2" xr2:uid="{A6835D2F-ADF1-8544-B422-0885D6E4F775}"/>
  </bookViews>
  <sheets>
    <sheet name="environmental_data" sheetId="1" r:id="rId1"/>
    <sheet name="sponge_size_uptake_noDSM" sheetId="10" r:id="rId2"/>
    <sheet name="sponge_size_uptake" sheetId="2" r:id="rId3"/>
    <sheet name="strain_info" sheetId="3" r:id="rId4"/>
    <sheet name="percentage_phagocytosis" sheetId="6" r:id="rId5"/>
    <sheet name="percentage_phagocytosis_R" sheetId="5" r:id="rId6"/>
    <sheet name="uptake_rates_raw" sheetId="8" r:id="rId7"/>
    <sheet name="uptake_rates_controls" sheetId="11" r:id="rId8"/>
    <sheet name="uptake_rates_final" sheetId="12" r:id="rId9"/>
    <sheet name="FL_microscopy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2" l="1"/>
  <c r="U32" i="12"/>
  <c r="T32" i="12"/>
  <c r="U26" i="12"/>
  <c r="T26" i="12"/>
  <c r="U21" i="12"/>
  <c r="T21" i="12"/>
  <c r="U16" i="12"/>
  <c r="T16" i="12"/>
  <c r="U8" i="12"/>
  <c r="N14" i="2"/>
  <c r="N15" i="2"/>
  <c r="N1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2" i="2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7" i="5"/>
  <c r="U6" i="5"/>
  <c r="U5" i="5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W205" i="8"/>
  <c r="W206" i="8"/>
  <c r="W207" i="8"/>
  <c r="W208" i="8"/>
  <c r="W209" i="8"/>
  <c r="W210" i="8"/>
  <c r="W211" i="8"/>
  <c r="W2" i="8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K7" i="12"/>
  <c r="J7" i="12"/>
  <c r="K6" i="12"/>
  <c r="J6" i="12"/>
  <c r="K5" i="12"/>
  <c r="J5" i="12"/>
  <c r="K4" i="12"/>
  <c r="J4" i="12"/>
  <c r="K3" i="12"/>
  <c r="J3" i="12"/>
  <c r="K2" i="12"/>
  <c r="J2" i="12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" i="8"/>
  <c r="S204" i="8"/>
  <c r="S196" i="8"/>
  <c r="S188" i="8"/>
  <c r="S182" i="8"/>
  <c r="S176" i="8"/>
  <c r="S170" i="8"/>
  <c r="S162" i="8"/>
  <c r="S154" i="8"/>
  <c r="S146" i="8"/>
  <c r="S140" i="8"/>
  <c r="S134" i="8"/>
  <c r="S128" i="8"/>
  <c r="S120" i="8"/>
  <c r="S112" i="8"/>
  <c r="S104" i="8"/>
  <c r="S98" i="8"/>
  <c r="S92" i="8"/>
  <c r="S86" i="8"/>
  <c r="S78" i="8"/>
  <c r="S70" i="8"/>
  <c r="S62" i="8"/>
  <c r="S56" i="8"/>
  <c r="S50" i="8"/>
  <c r="S44" i="8"/>
  <c r="S37" i="8"/>
  <c r="S28" i="8"/>
  <c r="S20" i="8"/>
  <c r="S14" i="8"/>
  <c r="S2" i="8"/>
  <c r="S8" i="8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J37" i="12"/>
  <c r="L37" i="12" s="1"/>
  <c r="N37" i="12" s="1"/>
  <c r="J36" i="12"/>
  <c r="J35" i="12"/>
  <c r="J34" i="12"/>
  <c r="L34" i="12" s="1"/>
  <c r="N34" i="12" s="1"/>
  <c r="J33" i="12"/>
  <c r="L33" i="12" s="1"/>
  <c r="N33" i="12" s="1"/>
  <c r="J32" i="12"/>
  <c r="L32" i="12" s="1"/>
  <c r="N32" i="12" s="1"/>
  <c r="J31" i="12"/>
  <c r="J30" i="12"/>
  <c r="L30" i="12" s="1"/>
  <c r="N30" i="12" s="1"/>
  <c r="J29" i="12"/>
  <c r="J28" i="12"/>
  <c r="J27" i="12"/>
  <c r="J26" i="12"/>
  <c r="L26" i="12" s="1"/>
  <c r="N26" i="12" s="1"/>
  <c r="J25" i="12"/>
  <c r="L25" i="12" s="1"/>
  <c r="N25" i="12" s="1"/>
  <c r="J24" i="12"/>
  <c r="J23" i="12"/>
  <c r="J22" i="12"/>
  <c r="L22" i="12" s="1"/>
  <c r="N22" i="12" s="1"/>
  <c r="J21" i="12"/>
  <c r="J20" i="12"/>
  <c r="L20" i="12" s="1"/>
  <c r="N20" i="12" s="1"/>
  <c r="J19" i="12"/>
  <c r="J18" i="12"/>
  <c r="L18" i="12" s="1"/>
  <c r="N18" i="12" s="1"/>
  <c r="J17" i="12"/>
  <c r="J16" i="12"/>
  <c r="J15" i="12"/>
  <c r="J14" i="12"/>
  <c r="L14" i="12" s="1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8" i="12"/>
  <c r="R187" i="8"/>
  <c r="R158" i="8"/>
  <c r="R68" i="8"/>
  <c r="R54" i="8"/>
  <c r="L19" i="12"/>
  <c r="N19" i="12" s="1"/>
  <c r="F2" i="12"/>
  <c r="K13" i="12"/>
  <c r="J13" i="12"/>
  <c r="K12" i="12"/>
  <c r="J12" i="12"/>
  <c r="K11" i="12"/>
  <c r="J11" i="12"/>
  <c r="K10" i="12"/>
  <c r="J10" i="12"/>
  <c r="K9" i="12"/>
  <c r="J9" i="12"/>
  <c r="K8" i="12"/>
  <c r="J8" i="12"/>
  <c r="C7" i="11"/>
  <c r="C6" i="11"/>
  <c r="C5" i="11"/>
  <c r="C4" i="11"/>
  <c r="C3" i="11"/>
  <c r="C2" i="11"/>
  <c r="R34" i="8"/>
  <c r="R27" i="8"/>
  <c r="R26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O35" i="11"/>
  <c r="O25" i="11"/>
  <c r="O15" i="11"/>
  <c r="O5" i="11"/>
  <c r="R35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8" i="8"/>
  <c r="R29" i="8"/>
  <c r="R30" i="8"/>
  <c r="R31" i="8"/>
  <c r="R32" i="8"/>
  <c r="R33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2" i="8"/>
  <c r="O3" i="11"/>
  <c r="O4" i="11"/>
  <c r="O6" i="11"/>
  <c r="O7" i="11"/>
  <c r="O8" i="11"/>
  <c r="O9" i="11"/>
  <c r="O10" i="11"/>
  <c r="O11" i="11"/>
  <c r="O12" i="11"/>
  <c r="O13" i="11"/>
  <c r="O14" i="11"/>
  <c r="O16" i="11"/>
  <c r="O17" i="11"/>
  <c r="O18" i="11"/>
  <c r="O19" i="11"/>
  <c r="O20" i="11"/>
  <c r="O21" i="11"/>
  <c r="O22" i="11"/>
  <c r="O23" i="11"/>
  <c r="O24" i="11"/>
  <c r="O26" i="11"/>
  <c r="O27" i="11"/>
  <c r="O28" i="11"/>
  <c r="O29" i="11"/>
  <c r="O30" i="11"/>
  <c r="O31" i="11"/>
  <c r="O32" i="11"/>
  <c r="O33" i="11"/>
  <c r="O34" i="11"/>
  <c r="O36" i="11"/>
  <c r="O37" i="11"/>
  <c r="O38" i="11"/>
  <c r="O39" i="11"/>
  <c r="O40" i="11"/>
  <c r="O41" i="11"/>
  <c r="O42" i="11"/>
  <c r="O43" i="11"/>
  <c r="O2" i="11"/>
  <c r="F8" i="10"/>
  <c r="F7" i="10"/>
  <c r="M6" i="10"/>
  <c r="L6" i="10"/>
  <c r="F6" i="10"/>
  <c r="F5" i="10"/>
  <c r="M4" i="10"/>
  <c r="L4" i="10"/>
  <c r="F4" i="10"/>
  <c r="M3" i="10"/>
  <c r="L3" i="10"/>
  <c r="F3" i="10"/>
  <c r="M2" i="10"/>
  <c r="L2" i="10"/>
  <c r="F2" i="10"/>
  <c r="M5" i="10" s="1"/>
  <c r="R46" i="6"/>
  <c r="G46" i="6"/>
  <c r="R45" i="6"/>
  <c r="G45" i="6"/>
  <c r="R44" i="6"/>
  <c r="G44" i="6"/>
  <c r="P43" i="6"/>
  <c r="R43" i="6" s="1"/>
  <c r="N43" i="6"/>
  <c r="L43" i="6"/>
  <c r="J43" i="6"/>
  <c r="H43" i="6"/>
  <c r="G43" i="6" s="1"/>
  <c r="P42" i="6"/>
  <c r="N42" i="6"/>
  <c r="L42" i="6"/>
  <c r="J42" i="6"/>
  <c r="H42" i="6"/>
  <c r="R42" i="6" s="1"/>
  <c r="G42" i="6"/>
  <c r="S41" i="6"/>
  <c r="T41" i="6" s="1"/>
  <c r="R41" i="6"/>
  <c r="T40" i="6"/>
  <c r="S40" i="6"/>
  <c r="R40" i="6"/>
  <c r="S39" i="6"/>
  <c r="T39" i="6" s="1"/>
  <c r="R39" i="6"/>
  <c r="S38" i="6"/>
  <c r="T38" i="6" s="1"/>
  <c r="R38" i="6"/>
  <c r="S37" i="6"/>
  <c r="T37" i="6" s="1"/>
  <c r="R37" i="6"/>
  <c r="T36" i="6"/>
  <c r="S36" i="6"/>
  <c r="R36" i="6"/>
  <c r="S35" i="6"/>
  <c r="T35" i="6" s="1"/>
  <c r="R35" i="6"/>
  <c r="S34" i="6"/>
  <c r="T34" i="6" s="1"/>
  <c r="R34" i="6"/>
  <c r="S33" i="6"/>
  <c r="T33" i="6" s="1"/>
  <c r="R33" i="6"/>
  <c r="T32" i="6"/>
  <c r="S32" i="6"/>
  <c r="R32" i="6"/>
  <c r="S31" i="6"/>
  <c r="T31" i="6" s="1"/>
  <c r="R31" i="6"/>
  <c r="S30" i="6"/>
  <c r="T30" i="6" s="1"/>
  <c r="R30" i="6"/>
  <c r="S29" i="6"/>
  <c r="T29" i="6" s="1"/>
  <c r="R29" i="6"/>
  <c r="T28" i="6"/>
  <c r="S28" i="6"/>
  <c r="R28" i="6"/>
  <c r="S27" i="6"/>
  <c r="T27" i="6" s="1"/>
  <c r="R27" i="6"/>
  <c r="S26" i="6"/>
  <c r="T26" i="6" s="1"/>
  <c r="R26" i="6"/>
  <c r="S25" i="6"/>
  <c r="T25" i="6" s="1"/>
  <c r="R25" i="6"/>
  <c r="T24" i="6"/>
  <c r="S24" i="6"/>
  <c r="R24" i="6"/>
  <c r="S23" i="6"/>
  <c r="T23" i="6" s="1"/>
  <c r="R23" i="6"/>
  <c r="S22" i="6"/>
  <c r="T22" i="6" s="1"/>
  <c r="R22" i="6"/>
  <c r="S21" i="6"/>
  <c r="T21" i="6" s="1"/>
  <c r="R21" i="6"/>
  <c r="T20" i="6"/>
  <c r="S20" i="6"/>
  <c r="R20" i="6"/>
  <c r="S19" i="6"/>
  <c r="T19" i="6" s="1"/>
  <c r="R19" i="6"/>
  <c r="S18" i="6"/>
  <c r="T18" i="6" s="1"/>
  <c r="R18" i="6"/>
  <c r="S17" i="6"/>
  <c r="T17" i="6" s="1"/>
  <c r="R17" i="6"/>
  <c r="T16" i="6"/>
  <c r="S16" i="6"/>
  <c r="R16" i="6"/>
  <c r="S15" i="6"/>
  <c r="T15" i="6" s="1"/>
  <c r="R15" i="6"/>
  <c r="S14" i="6"/>
  <c r="T14" i="6" s="1"/>
  <c r="R14" i="6"/>
  <c r="S13" i="6"/>
  <c r="T13" i="6" s="1"/>
  <c r="R13" i="6"/>
  <c r="T12" i="6"/>
  <c r="S12" i="6"/>
  <c r="R12" i="6"/>
  <c r="S11" i="6"/>
  <c r="T11" i="6" s="1"/>
  <c r="R11" i="6"/>
  <c r="S10" i="6"/>
  <c r="T10" i="6" s="1"/>
  <c r="R10" i="6"/>
  <c r="S9" i="6"/>
  <c r="T9" i="6" s="1"/>
  <c r="R9" i="6"/>
  <c r="T8" i="6"/>
  <c r="S8" i="6"/>
  <c r="R8" i="6"/>
  <c r="S7" i="6"/>
  <c r="T7" i="6" s="1"/>
  <c r="R7" i="6"/>
  <c r="S6" i="6"/>
  <c r="T6" i="6" s="1"/>
  <c r="R6" i="6"/>
  <c r="S5" i="6"/>
  <c r="T5" i="6" s="1"/>
  <c r="R5" i="6"/>
  <c r="T4" i="6"/>
  <c r="S4" i="6"/>
  <c r="R4" i="6"/>
  <c r="S3" i="6"/>
  <c r="T3" i="6" s="1"/>
  <c r="R3" i="6"/>
  <c r="S2" i="6"/>
  <c r="T2" i="6" s="1"/>
  <c r="R2" i="6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2" i="5"/>
  <c r="R5" i="5"/>
  <c r="R4" i="5"/>
  <c r="R3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2" i="5"/>
  <c r="O6" i="2"/>
  <c r="N6" i="2"/>
  <c r="O4" i="2"/>
  <c r="N4" i="2"/>
  <c r="O3" i="2"/>
  <c r="N3" i="2"/>
  <c r="O2" i="2"/>
  <c r="N2" i="2"/>
  <c r="G7" i="2"/>
  <c r="G6" i="2"/>
  <c r="G5" i="2"/>
  <c r="G2" i="2"/>
  <c r="G3" i="2"/>
  <c r="O5" i="2" s="1"/>
  <c r="G4" i="2"/>
  <c r="N5" i="2" s="1"/>
  <c r="G8" i="2"/>
  <c r="N7" i="2" l="1"/>
  <c r="N13" i="2"/>
  <c r="N12" i="2"/>
  <c r="O7" i="2"/>
  <c r="P19" i="12"/>
  <c r="P25" i="12"/>
  <c r="P33" i="12"/>
  <c r="P37" i="12"/>
  <c r="P20" i="12"/>
  <c r="P32" i="12"/>
  <c r="G39" i="12"/>
  <c r="G38" i="12"/>
  <c r="P18" i="12"/>
  <c r="P22" i="12"/>
  <c r="P26" i="12"/>
  <c r="P30" i="12"/>
  <c r="P34" i="12"/>
  <c r="L2" i="12"/>
  <c r="N2" i="12" s="1"/>
  <c r="P2" i="12" s="1"/>
  <c r="L4" i="12"/>
  <c r="N4" i="12" s="1"/>
  <c r="P4" i="12" s="1"/>
  <c r="L6" i="12"/>
  <c r="N6" i="12" s="1"/>
  <c r="P6" i="12" s="1"/>
  <c r="N14" i="12"/>
  <c r="P14" i="12" s="1"/>
  <c r="T40" i="5"/>
  <c r="T36" i="5"/>
  <c r="T32" i="5"/>
  <c r="T28" i="5"/>
  <c r="T24" i="5"/>
  <c r="T20" i="5"/>
  <c r="T16" i="5"/>
  <c r="T12" i="5"/>
  <c r="T8" i="5"/>
  <c r="T4" i="5"/>
  <c r="T35" i="5"/>
  <c r="T27" i="5"/>
  <c r="T23" i="5"/>
  <c r="T19" i="5"/>
  <c r="T15" i="5"/>
  <c r="T11" i="5"/>
  <c r="T7" i="5"/>
  <c r="T3" i="5"/>
  <c r="T39" i="5"/>
  <c r="T31" i="5"/>
  <c r="T2" i="5"/>
  <c r="T38" i="5"/>
  <c r="T34" i="5"/>
  <c r="T30" i="5"/>
  <c r="T26" i="5"/>
  <c r="T22" i="5"/>
  <c r="T18" i="5"/>
  <c r="T14" i="5"/>
  <c r="T10" i="5"/>
  <c r="T6" i="5"/>
  <c r="T41" i="5"/>
  <c r="T37" i="5"/>
  <c r="T33" i="5"/>
  <c r="T29" i="5"/>
  <c r="T25" i="5"/>
  <c r="T21" i="5"/>
  <c r="T17" i="5"/>
  <c r="T13" i="5"/>
  <c r="T9" i="5"/>
  <c r="T5" i="5"/>
  <c r="L29" i="12"/>
  <c r="L9" i="12"/>
  <c r="N9" i="12" s="1"/>
  <c r="P9" i="12" s="1"/>
  <c r="L15" i="12"/>
  <c r="L23" i="12"/>
  <c r="N23" i="12" s="1"/>
  <c r="P23" i="12" s="1"/>
  <c r="L27" i="12"/>
  <c r="L35" i="12"/>
  <c r="L3" i="12"/>
  <c r="N3" i="12" s="1"/>
  <c r="P3" i="12" s="1"/>
  <c r="L5" i="12"/>
  <c r="N5" i="12" s="1"/>
  <c r="P5" i="12" s="1"/>
  <c r="L7" i="12"/>
  <c r="N7" i="12" s="1"/>
  <c r="P7" i="12" s="1"/>
  <c r="L17" i="12"/>
  <c r="L36" i="12"/>
  <c r="L28" i="12"/>
  <c r="L24" i="12"/>
  <c r="N24" i="12" s="1"/>
  <c r="P24" i="12" s="1"/>
  <c r="L31" i="12"/>
  <c r="L21" i="12"/>
  <c r="N21" i="12" s="1"/>
  <c r="P21" i="12" s="1"/>
  <c r="L16" i="12"/>
  <c r="N16" i="12" s="1"/>
  <c r="P16" i="12" s="1"/>
  <c r="Y37" i="12"/>
  <c r="Z37" i="12" s="1"/>
  <c r="Y33" i="12"/>
  <c r="Z33" i="12" s="1"/>
  <c r="Y25" i="12"/>
  <c r="Z25" i="12" s="1"/>
  <c r="Y32" i="12"/>
  <c r="Z32" i="12" s="1"/>
  <c r="Y20" i="12"/>
  <c r="Z20" i="12" s="1"/>
  <c r="Y19" i="12"/>
  <c r="Z19" i="12" s="1"/>
  <c r="Y34" i="12"/>
  <c r="Z34" i="12" s="1"/>
  <c r="Y30" i="12"/>
  <c r="Z30" i="12" s="1"/>
  <c r="Y26" i="12"/>
  <c r="Z26" i="12" s="1"/>
  <c r="Y22" i="12"/>
  <c r="Z22" i="12" s="1"/>
  <c r="Y18" i="12"/>
  <c r="Z18" i="12" s="1"/>
  <c r="L11" i="12"/>
  <c r="N11" i="12" s="1"/>
  <c r="P11" i="12" s="1"/>
  <c r="L13" i="12"/>
  <c r="N13" i="12" s="1"/>
  <c r="P13" i="12" s="1"/>
  <c r="L10" i="12"/>
  <c r="N10" i="12" s="1"/>
  <c r="P10" i="12" s="1"/>
  <c r="L12" i="12"/>
  <c r="N12" i="12" s="1"/>
  <c r="P12" i="12" s="1"/>
  <c r="L8" i="12"/>
  <c r="N8" i="12" s="1"/>
  <c r="P8" i="12" s="1"/>
  <c r="L5" i="10"/>
  <c r="G47" i="6"/>
  <c r="AB32" i="12" l="1"/>
  <c r="AA32" i="12"/>
  <c r="R21" i="12"/>
  <c r="Q21" i="12"/>
  <c r="S8" i="12"/>
  <c r="R8" i="12"/>
  <c r="Q8" i="12"/>
  <c r="Y23" i="12"/>
  <c r="Z23" i="12" s="1"/>
  <c r="N36" i="12"/>
  <c r="P36" i="12" s="1"/>
  <c r="N15" i="12"/>
  <c r="P15" i="12" s="1"/>
  <c r="N31" i="12"/>
  <c r="P31" i="12" s="1"/>
  <c r="N17" i="12"/>
  <c r="P17" i="12" s="1"/>
  <c r="Q16" i="12" s="1"/>
  <c r="N35" i="12"/>
  <c r="P35" i="12" s="1"/>
  <c r="R32" i="12" s="1"/>
  <c r="N27" i="12"/>
  <c r="P27" i="12" s="1"/>
  <c r="N29" i="12"/>
  <c r="P29" i="12" s="1"/>
  <c r="N28" i="12"/>
  <c r="P28" i="12" s="1"/>
  <c r="Y14" i="12"/>
  <c r="Z14" i="12" s="1"/>
  <c r="Y9" i="12"/>
  <c r="Z9" i="12" s="1"/>
  <c r="Q2" i="12"/>
  <c r="O23" i="12" s="1"/>
  <c r="S23" i="12" s="1"/>
  <c r="R2" i="12"/>
  <c r="Y24" i="12"/>
  <c r="Z24" i="12" s="1"/>
  <c r="Y21" i="12"/>
  <c r="Z21" i="12" s="1"/>
  <c r="Y16" i="12"/>
  <c r="Z16" i="12" s="1"/>
  <c r="Y8" i="12"/>
  <c r="Z8" i="12" s="1"/>
  <c r="Y12" i="12"/>
  <c r="Z12" i="12" s="1"/>
  <c r="Y11" i="12"/>
  <c r="Z11" i="12" s="1"/>
  <c r="Y10" i="12"/>
  <c r="Z10" i="12" s="1"/>
  <c r="Y13" i="12"/>
  <c r="Z13" i="12" s="1"/>
  <c r="AB8" i="12" l="1"/>
  <c r="AA8" i="12"/>
  <c r="AB23" i="12"/>
  <c r="AA23" i="12"/>
  <c r="R16" i="12"/>
  <c r="AB11" i="12"/>
  <c r="AA11" i="12"/>
  <c r="AB21" i="12"/>
  <c r="AA21" i="12"/>
  <c r="Q32" i="12"/>
  <c r="Q26" i="12"/>
  <c r="R26" i="12"/>
  <c r="Y28" i="12"/>
  <c r="Z28" i="12" s="1"/>
  <c r="Y27" i="12"/>
  <c r="Z27" i="12" s="1"/>
  <c r="Y17" i="12"/>
  <c r="Z17" i="12" s="1"/>
  <c r="Y15" i="12"/>
  <c r="Z15" i="12" s="1"/>
  <c r="O17" i="12"/>
  <c r="S17" i="12" s="1"/>
  <c r="Y29" i="12"/>
  <c r="Z29" i="12" s="1"/>
  <c r="Y35" i="12"/>
  <c r="Z35" i="12" s="1"/>
  <c r="Y31" i="12"/>
  <c r="Z31" i="12" s="1"/>
  <c r="Y36" i="12"/>
  <c r="Z36" i="12" s="1"/>
  <c r="O24" i="12"/>
  <c r="S24" i="12" s="1"/>
  <c r="O19" i="12"/>
  <c r="S19" i="12" s="1"/>
  <c r="O10" i="12"/>
  <c r="S10" i="12" s="1"/>
  <c r="O34" i="12"/>
  <c r="S34" i="12" s="1"/>
  <c r="O13" i="12"/>
  <c r="S13" i="12" s="1"/>
  <c r="O33" i="12"/>
  <c r="O11" i="12"/>
  <c r="S11" i="12" s="1"/>
  <c r="O21" i="12"/>
  <c r="O16" i="12"/>
  <c r="S16" i="12" s="1"/>
  <c r="O14" i="12"/>
  <c r="S14" i="12" s="1"/>
  <c r="O9" i="12"/>
  <c r="S9" i="12" s="1"/>
  <c r="T8" i="12" s="1"/>
  <c r="O12" i="12"/>
  <c r="S12" i="12" s="1"/>
  <c r="O28" i="12"/>
  <c r="S28" i="12" s="1"/>
  <c r="O25" i="12"/>
  <c r="S25" i="12" s="1"/>
  <c r="O8" i="12"/>
  <c r="O29" i="12"/>
  <c r="S29" i="12" s="1"/>
  <c r="O27" i="12"/>
  <c r="S27" i="12" s="1"/>
  <c r="O18" i="12"/>
  <c r="S18" i="12" s="1"/>
  <c r="O32" i="12"/>
  <c r="O35" i="12"/>
  <c r="S35" i="12" s="1"/>
  <c r="O22" i="12"/>
  <c r="S22" i="12" s="1"/>
  <c r="O36" i="12"/>
  <c r="S36" i="12" s="1"/>
  <c r="O37" i="12"/>
  <c r="S37" i="12" s="1"/>
  <c r="O31" i="12"/>
  <c r="S31" i="12" s="1"/>
  <c r="O20" i="12"/>
  <c r="O26" i="12"/>
  <c r="O15" i="12"/>
  <c r="S15" i="12" s="1"/>
  <c r="O30" i="12"/>
  <c r="S30" i="12" s="1"/>
  <c r="S33" i="12"/>
  <c r="S21" i="12"/>
  <c r="AB35" i="12" l="1"/>
  <c r="AA35" i="12"/>
  <c r="AB17" i="12"/>
  <c r="AA17" i="12"/>
  <c r="AB29" i="12"/>
  <c r="AA29" i="12"/>
  <c r="AB26" i="12"/>
  <c r="AA26" i="12"/>
  <c r="S26" i="12"/>
  <c r="S20" i="12"/>
  <c r="S3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tc={938F45CA-404D-B545-95B6-A2A4E619A14F}</author>
  </authors>
  <commentList>
    <comment ref="O1" authorId="0" shapeId="0" xr:uid="{938F45CA-404D-B545-95B6-A2A4E619A14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!!!Pay attention for the calculations,
that t0 run by Alexi had a volume of 500µL, while all run by Lukka have a volume of 1000µL!!!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tc={EE5C766B-1E4B-F740-B3C3-E09E7C9387B1}</author>
  </authors>
  <commentList>
    <comment ref="N1" authorId="0" shapeId="0" xr:uid="{EE5C766B-1E4B-F740-B3C3-E09E7C9387B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since the time is so short, we can treat the change per time calculation here as a linear equation</t>
      </text>
    </comment>
  </commentList>
</comments>
</file>

<file path=xl/sharedStrings.xml><?xml version="1.0" encoding="utf-8"?>
<sst xmlns="http://schemas.openxmlformats.org/spreadsheetml/2006/main" count="6443" uniqueCount="1437">
  <si>
    <t>Date</t>
  </si>
  <si>
    <t>Temp_ºC</t>
  </si>
  <si>
    <t>PSU</t>
  </si>
  <si>
    <t>pH</t>
  </si>
  <si>
    <t>Strain</t>
  </si>
  <si>
    <t>Ankyrin?</t>
  </si>
  <si>
    <t>Hal281</t>
  </si>
  <si>
    <t>N</t>
  </si>
  <si>
    <t>Sponge</t>
  </si>
  <si>
    <t>Hal281-30-1</t>
  </si>
  <si>
    <t>Hal281-30-2</t>
  </si>
  <si>
    <t>Hal281-30-3</t>
  </si>
  <si>
    <t>Hal281-60-1</t>
  </si>
  <si>
    <t>Hal281-60-2</t>
  </si>
  <si>
    <t>Hal281-60-3</t>
  </si>
  <si>
    <t>Control-30-1</t>
  </si>
  <si>
    <t>Weight_g</t>
  </si>
  <si>
    <t>start_concentration_vibrio_cells/mL</t>
  </si>
  <si>
    <t>1.0*10e6</t>
  </si>
  <si>
    <t>sponge_cells/mL</t>
  </si>
  <si>
    <t>M60M31</t>
  </si>
  <si>
    <t>SA48</t>
  </si>
  <si>
    <t>Y</t>
  </si>
  <si>
    <t>Hal054</t>
  </si>
  <si>
    <t>DMZ507</t>
  </si>
  <si>
    <t>M60M70</t>
  </si>
  <si>
    <t>M60M31-30-1</t>
  </si>
  <si>
    <t>M60M31-30-2</t>
  </si>
  <si>
    <t>M60M31-30-3</t>
  </si>
  <si>
    <t>M60M31-60-1</t>
  </si>
  <si>
    <t>M60M31-60-2</t>
  </si>
  <si>
    <t>M60M31-60-3</t>
  </si>
  <si>
    <t>Control-60-1</t>
  </si>
  <si>
    <t>SA48-30-1</t>
  </si>
  <si>
    <t>SA48-30-2</t>
  </si>
  <si>
    <t>SA48-30-3</t>
  </si>
  <si>
    <t>SA48-60-1</t>
  </si>
  <si>
    <t>SA48-60-2</t>
  </si>
  <si>
    <t>SA48-60-3</t>
  </si>
  <si>
    <t>Control-30-2</t>
  </si>
  <si>
    <t>NA</t>
  </si>
  <si>
    <t>water_PSU</t>
  </si>
  <si>
    <t>water_pH</t>
  </si>
  <si>
    <t>Ankyrin_present</t>
  </si>
  <si>
    <t>water_temp</t>
  </si>
  <si>
    <t>Hal054-30-1</t>
  </si>
  <si>
    <t>Hal054-30-2</t>
  </si>
  <si>
    <t>Hal054-30-3</t>
  </si>
  <si>
    <t>Hal054-60-1</t>
  </si>
  <si>
    <t>Hal054-60-2</t>
  </si>
  <si>
    <t>Hal054-60-3</t>
  </si>
  <si>
    <t>Control-60-2</t>
  </si>
  <si>
    <t>DMZ507-30-1</t>
  </si>
  <si>
    <t>DMZ507-30-2</t>
  </si>
  <si>
    <t>DMZ507-60-1</t>
  </si>
  <si>
    <t>DMZ507-60-2</t>
  </si>
  <si>
    <t>M60M70-30-1</t>
  </si>
  <si>
    <t>Control-60-3</t>
  </si>
  <si>
    <t>M60M70-30-2</t>
  </si>
  <si>
    <t>M60M70-30-3</t>
  </si>
  <si>
    <t>M60M70-60-1</t>
  </si>
  <si>
    <t>M60M70-60-2</t>
  </si>
  <si>
    <t>M60M70-60-3</t>
  </si>
  <si>
    <t>Hal281-30-4</t>
  </si>
  <si>
    <t>Hal281-30-5</t>
  </si>
  <si>
    <t>Hal281-30-6</t>
  </si>
  <si>
    <t>Hal281-60-4</t>
  </si>
  <si>
    <t>Hal281-60-5</t>
  </si>
  <si>
    <t>Hal281-60-6</t>
  </si>
  <si>
    <t>Control30-4</t>
  </si>
  <si>
    <t>Precentage_identity</t>
  </si>
  <si>
    <t>Ascension_number</t>
  </si>
  <si>
    <t>Top_3_BLAST_results_ALL</t>
  </si>
  <si>
    <t>Top_3_BLAST_results_TYPE</t>
  </si>
  <si>
    <t>Length</t>
  </si>
  <si>
    <t>M60_M70</t>
  </si>
  <si>
    <t>Vibrio diabolicus strain LMG 3418
Vibrio alginolyticus strain AUSMDU00064140
Vibrio diabolicus strain FA3</t>
  </si>
  <si>
    <t>100
100
100</t>
  </si>
  <si>
    <t>CP014134.1
CP110670.1
CP042451.1</t>
  </si>
  <si>
    <t>99.86
99.79
99.79</t>
  </si>
  <si>
    <t>Vibrio antiquarius strain EX25
Vibrio alginolyticus NBRC 15630 = ATCC 17749
Vibrio alginolyticus strain NBRC 15630</t>
  </si>
  <si>
    <t>CP001805.1
CP006718.1
NR_122050.1</t>
  </si>
  <si>
    <t>DSM507</t>
  </si>
  <si>
    <t>99.73
99.73
99.73</t>
  </si>
  <si>
    <t>Aliivibrio fischeri isolate 61f92ba31ffaf1e247a49d66
Aliivibrio fischeri ATCC 7744 = JCM 18803 = DSM 507
Vibrio fischeri strain ET101</t>
  </si>
  <si>
    <t>OZ183479.1
CP092712.1
AY292923.1</t>
  </si>
  <si>
    <t>99.73
99.73
99.60</t>
  </si>
  <si>
    <t>Aliivibrio fischeri ATCC 7744 = JCM 18803 = DSM 507
Aliivibrio fischeri ATCC 7744 = JCM 18803 = DSM 507
Vibrio crassostreae LMG 22240</t>
  </si>
  <si>
    <t xml:space="preserve">CP092712.1
CP092713.1
AP025477.1	</t>
  </si>
  <si>
    <t>100
99.33
99.26</t>
  </si>
  <si>
    <t>Vibrio diazotrophicus strain Hal053
Vibrio diazotrophicus strain ATCC 33466 
Vibrio diazotrophicus strain Hal026</t>
  </si>
  <si>
    <t>MT406434.1
CP151842.1
MT406407.1</t>
  </si>
  <si>
    <t>99.33
99.25
99.18</t>
  </si>
  <si>
    <t>Vibrio diazotrophicus strain ATCC 33466
Vibrio diazotrophicus strain NBRC 103148
Vibrio diazotrophicus strain NS 16S</t>
  </si>
  <si>
    <t>CP151842.1
NR_114217.1
NR_026123.1</t>
  </si>
  <si>
    <t>Vibrio cyclitrophicus strain Hal281
Vibrio cyclitrophicus strain JM-2012
Vibrio cyclitrophicus strain ED653</t>
  </si>
  <si>
    <t>100
99.80
99.67</t>
  </si>
  <si>
    <t>MT406665.1
KF488567.1
CP065207.1</t>
  </si>
  <si>
    <t>99.74
99.74
99.54</t>
  </si>
  <si>
    <t>Vibrio cyclitrophicus LMG 21359
Vibrio cyclitrophicus LMG 21359
Vibrio echinoideorum DSM 107264</t>
  </si>
  <si>
    <t>AP025480.1
AP025481.1
AP025483.1</t>
  </si>
  <si>
    <t>M60_M31</t>
  </si>
  <si>
    <t>Vibrio natriegens strain CL-2
Vibrio campbellii strain KJ-W18
Vibrio natriegens NBRC 15636 = ATCC 14048 = DSM 759</t>
  </si>
  <si>
    <t>98.63
98.63
98.63</t>
  </si>
  <si>
    <t>CP142837.1
JQ799114.1
CP009977.1</t>
  </si>
  <si>
    <t>Vibrio natriegens NBRC 15636 = ATCC 14048 = DSM 759
Vibrio natriegens NBRC 15636 = ATCC 14048 = DSM 759
Vibrio natriegens NBRC 15636 = ATCC 14048 = DSM 759</t>
  </si>
  <si>
    <t>CP009977.1
CP016345.1
CP141822.1</t>
  </si>
  <si>
    <t>Ankyrin</t>
  </si>
  <si>
    <t>99.59
99.66
99.11</t>
  </si>
  <si>
    <t>Vibrio aestuarianus strain U29
Vibrio aestuarianus strain NBRC 15629
Vibrio aestuarianus strain 10_092 7MT1</t>
  </si>
  <si>
    <t>CP118709.1
NR_113780.1
CP091993.1</t>
  </si>
  <si>
    <t>99.66
98.83
99.36</t>
  </si>
  <si>
    <t>Vibrio aestuarianus strain NBRC 15629
Vibrio aestuarianus subsp. francensis strain 02/041
Vibrio aestuarianus strain OY 0-002</t>
  </si>
  <si>
    <t>NR_113780.1
NR_114937.1
NR_029254.1</t>
  </si>
  <si>
    <t>DSM24595</t>
  </si>
  <si>
    <t>99.80
99.80
99.80</t>
  </si>
  <si>
    <t>Vibrio alfacsensis strain VA-1
Vibrio alfacsensis 04Ya249
Vibrio alfacsensis 04Ya249</t>
  </si>
  <si>
    <t>CP140102.1
AP019850.1
AP019849.1</t>
  </si>
  <si>
    <t>99.87
99.08
98.15</t>
  </si>
  <si>
    <t>Vibrio alfacsensis strain CAIM 1831
Vibrio alfacsensis strain CAIM 1831
Vibrio ponticus 16S rRNA gene, type strain CECT 5869T</t>
  </si>
  <si>
    <t>NR_118129.1
CP032093.1
AJ630103.1</t>
  </si>
  <si>
    <t>PP-XX7</t>
  </si>
  <si>
    <t>98.57
96.94
96.87</t>
  </si>
  <si>
    <t>Vibrio sp. NBRC 101805
Vibrio metschnikovii 16S
Vibrio metschnikovii strain 19CA03SA01</t>
  </si>
  <si>
    <t>AB681563.1
AY837747.1
CP101482.1</t>
  </si>
  <si>
    <t>96.54
96.54
96.34</t>
  </si>
  <si>
    <t>Vibrio viridaestus strain LJC006
Vibrio sp. LJC006
Vibrio diazotrophicus strain ATCC 33466</t>
  </si>
  <si>
    <t>NR_179904.1
MG745796.1
CP151842.1</t>
  </si>
  <si>
    <t>SD</t>
  </si>
  <si>
    <t>T</t>
  </si>
  <si>
    <t>S</t>
  </si>
  <si>
    <t>Sponge_weight</t>
  </si>
  <si>
    <t>sponge_cells</t>
  </si>
  <si>
    <t>Mean</t>
  </si>
  <si>
    <t>rep_1_DAPI</t>
  </si>
  <si>
    <t>rep_1_perc_phagocytosis</t>
  </si>
  <si>
    <t>rep_2_DAPI</t>
  </si>
  <si>
    <t>rep_2_perc_phagocytosis</t>
  </si>
  <si>
    <t>rep_3_DAPI</t>
  </si>
  <si>
    <t>rep_4_perc_phagocytosis</t>
  </si>
  <si>
    <t>rep_4_DAPI</t>
  </si>
  <si>
    <t>rep_3_perc_phagocytosis</t>
  </si>
  <si>
    <t>rep_5_DAPI</t>
  </si>
  <si>
    <t>rep_5_perc_phagocytosis</t>
  </si>
  <si>
    <t>DAPI_avg</t>
  </si>
  <si>
    <t>M60_M31-30-1</t>
  </si>
  <si>
    <t>sample_id</t>
  </si>
  <si>
    <t>M60_M31-30-2</t>
  </si>
  <si>
    <t>M60_M31-30-3</t>
  </si>
  <si>
    <t>M60_M31-60-1</t>
  </si>
  <si>
    <t>M60_M31-60-2</t>
  </si>
  <si>
    <t>M60_M31-60-3</t>
  </si>
  <si>
    <t>M60_M70-30-1</t>
  </si>
  <si>
    <t>M60_M70-30-2</t>
  </si>
  <si>
    <t>M60_M70-30-3</t>
  </si>
  <si>
    <t>M60_M70-60-1</t>
  </si>
  <si>
    <t>M60_M70-60-2</t>
  </si>
  <si>
    <t>M60_M70-60-3</t>
  </si>
  <si>
    <t>Control30-2</t>
  </si>
  <si>
    <t>Control60-1</t>
  </si>
  <si>
    <t>Control60-2</t>
  </si>
  <si>
    <t>Control60-3</t>
  </si>
  <si>
    <t>unstained_in_gate</t>
  </si>
  <si>
    <t>phago_avg_total</t>
  </si>
  <si>
    <t>phago_avg_DAPI_adjusted</t>
  </si>
  <si>
    <t>vibrio_strain</t>
  </si>
  <si>
    <t>ankyrin_present</t>
  </si>
  <si>
    <t>self_vs_foreign</t>
  </si>
  <si>
    <t>time_min</t>
  </si>
  <si>
    <t>negative</t>
  </si>
  <si>
    <t>self</t>
  </si>
  <si>
    <t>positive</t>
  </si>
  <si>
    <t>foreign</t>
  </si>
  <si>
    <t>autoflourescence_DAPIadjusted</t>
  </si>
  <si>
    <t>Hal054-30-1-1</t>
  </si>
  <si>
    <t>yes</t>
  </si>
  <si>
    <t>Hal054-30-1-2</t>
  </si>
  <si>
    <t>Hal054-30-1-3</t>
  </si>
  <si>
    <t>Hal054-30-1-4</t>
  </si>
  <si>
    <t>Hal054-30-1-5</t>
  </si>
  <si>
    <t>Hal054-30-1-6</t>
  </si>
  <si>
    <t>Hal054-30-1-7</t>
  </si>
  <si>
    <t>Hal054-30-1-8</t>
  </si>
  <si>
    <t>Hal054-30-1-9</t>
  </si>
  <si>
    <t>Hal054-30-1-10</t>
  </si>
  <si>
    <t>Hal054-30-1-11</t>
  </si>
  <si>
    <t>Hal054-30-1-12</t>
  </si>
  <si>
    <t>Hal054-30-1-13</t>
  </si>
  <si>
    <t>Hal054-30-1-14</t>
  </si>
  <si>
    <t>Hal054-30-1-15</t>
  </si>
  <si>
    <t>Hal054-30-1-16</t>
  </si>
  <si>
    <t>Hal054-30-1-17</t>
  </si>
  <si>
    <t>Hal054-30-1-18</t>
  </si>
  <si>
    <t>Hal054-30-1-19</t>
  </si>
  <si>
    <t>Hal054-30-1-20</t>
  </si>
  <si>
    <t>Hal054-30-1-21</t>
  </si>
  <si>
    <t>Hal054-30-1-22</t>
  </si>
  <si>
    <t>Hal054-30-1-23</t>
  </si>
  <si>
    <t>Hal054-30-1-24</t>
  </si>
  <si>
    <t>Hal054-30-1-25</t>
  </si>
  <si>
    <t>Hal054-30-1-26</t>
  </si>
  <si>
    <t>Hal054-30-1-27</t>
  </si>
  <si>
    <t>Hal054-30-1-28</t>
  </si>
  <si>
    <t>Hal054-30-1-29</t>
  </si>
  <si>
    <t>Hal054-30-1-30</t>
  </si>
  <si>
    <t>cell_type</t>
  </si>
  <si>
    <t>vibrio_no</t>
  </si>
  <si>
    <t>Hal054-30-2-1</t>
  </si>
  <si>
    <t>Hal054-30-2-2</t>
  </si>
  <si>
    <t>Hal054-30-2-3</t>
  </si>
  <si>
    <t>Hal054-30-2-4</t>
  </si>
  <si>
    <t>Hal054-30-2-5</t>
  </si>
  <si>
    <t>Hal054-30-2-6</t>
  </si>
  <si>
    <t>Hal054-30-2-7</t>
  </si>
  <si>
    <t>Hal054-30-2-8</t>
  </si>
  <si>
    <t>Hal054-30-2-9</t>
  </si>
  <si>
    <t>Hal054-30-2-10</t>
  </si>
  <si>
    <t>Hal054-30-2-11</t>
  </si>
  <si>
    <t>Hal054-30-2-12</t>
  </si>
  <si>
    <t>Hal054-30-2-13</t>
  </si>
  <si>
    <t>Hal054-30-2-14</t>
  </si>
  <si>
    <t>Hal054-30-2-15</t>
  </si>
  <si>
    <t>Hal054-30-2-16</t>
  </si>
  <si>
    <t>Hal054-30-2-17</t>
  </si>
  <si>
    <t>Hal054-30-2-18</t>
  </si>
  <si>
    <t>Hal054-30-2-19</t>
  </si>
  <si>
    <t>Hal054-30-2-20</t>
  </si>
  <si>
    <t>Hal054-30-2-21</t>
  </si>
  <si>
    <t>Hal054-30-2-22</t>
  </si>
  <si>
    <t>Hal054-30-2-23</t>
  </si>
  <si>
    <t>Hal054-30-2-24</t>
  </si>
  <si>
    <t>Hal054-30-2-25</t>
  </si>
  <si>
    <t>Hal054-30-2-26</t>
  </si>
  <si>
    <t>Hal054-30-2-27</t>
  </si>
  <si>
    <t>Hal054-30-2-28</t>
  </si>
  <si>
    <t>Hal054-30-2-29</t>
  </si>
  <si>
    <t>Hal054-30-2-30</t>
  </si>
  <si>
    <t>Hal054-30-3-1</t>
  </si>
  <si>
    <t>Hal054-30-3-2</t>
  </si>
  <si>
    <t>Hal054-30-3-3</t>
  </si>
  <si>
    <t>Hal054-30-3-4</t>
  </si>
  <si>
    <t>Hal054-30-3-5</t>
  </si>
  <si>
    <t>Hal054-30-3-6</t>
  </si>
  <si>
    <t>Hal054-30-3-7</t>
  </si>
  <si>
    <t>Hal054-30-3-8</t>
  </si>
  <si>
    <t>Hal054-30-3-9</t>
  </si>
  <si>
    <t>Hal054-30-3-10</t>
  </si>
  <si>
    <t>Hal054-30-3-11</t>
  </si>
  <si>
    <t>Hal054-30-3-12</t>
  </si>
  <si>
    <t>Hal054-30-3-13</t>
  </si>
  <si>
    <t>Hal054-30-3-14</t>
  </si>
  <si>
    <t>Hal054-30-3-15</t>
  </si>
  <si>
    <t>Hal054-30-3-16</t>
  </si>
  <si>
    <t>Hal054-30-3-17</t>
  </si>
  <si>
    <t>Hal054-30-3-18</t>
  </si>
  <si>
    <t>Hal054-30-3-19</t>
  </si>
  <si>
    <t>Hal054-30-3-20</t>
  </si>
  <si>
    <t>Hal054-30-3-21</t>
  </si>
  <si>
    <t>Hal054-30-3-22</t>
  </si>
  <si>
    <t>Hal054-30-3-23</t>
  </si>
  <si>
    <t>Hal054-30-3-24</t>
  </si>
  <si>
    <t>Hal054-30-3-25</t>
  </si>
  <si>
    <t>Hal054-30-3-26</t>
  </si>
  <si>
    <t>Hal054-30-3-27</t>
  </si>
  <si>
    <t>Hal054-30-3-28</t>
  </si>
  <si>
    <t>Hal054-30-3-29</t>
  </si>
  <si>
    <t>Hal054-30-3-30</t>
  </si>
  <si>
    <t>Hal054-60-1-1</t>
  </si>
  <si>
    <t>Hal054-60-1-2</t>
  </si>
  <si>
    <t>Hal054-60-1-3</t>
  </si>
  <si>
    <t>Hal054-60-1-4</t>
  </si>
  <si>
    <t>Hal054-60-1-5</t>
  </si>
  <si>
    <t>Hal054-60-1-6</t>
  </si>
  <si>
    <t>Hal054-60-1-7</t>
  </si>
  <si>
    <t>Hal054-60-1-8</t>
  </si>
  <si>
    <t>Hal054-60-1-9</t>
  </si>
  <si>
    <t>Hal054-60-1-10</t>
  </si>
  <si>
    <t>Hal054-60-1-11</t>
  </si>
  <si>
    <t>Hal054-60-1-12</t>
  </si>
  <si>
    <t>Hal054-60-1-13</t>
  </si>
  <si>
    <t>Hal054-60-1-14</t>
  </si>
  <si>
    <t>Hal054-60-1-15</t>
  </si>
  <si>
    <t>Hal054-60-1-16</t>
  </si>
  <si>
    <t>Hal054-60-1-17</t>
  </si>
  <si>
    <t>Hal054-60-1-18</t>
  </si>
  <si>
    <t>Hal054-60-1-19</t>
  </si>
  <si>
    <t>Hal054-60-1-20</t>
  </si>
  <si>
    <t>Hal054-60-1-21</t>
  </si>
  <si>
    <t>Hal054-60-1-22</t>
  </si>
  <si>
    <t>Hal054-60-1-23</t>
  </si>
  <si>
    <t>Hal054-60-1-24</t>
  </si>
  <si>
    <t>Hal054-60-1-25</t>
  </si>
  <si>
    <t>Hal054-60-1-26</t>
  </si>
  <si>
    <t>Hal054-60-1-27</t>
  </si>
  <si>
    <t>Hal054-60-1-28</t>
  </si>
  <si>
    <t>Hal054-60-1-29</t>
  </si>
  <si>
    <t>Hal054-60-1-30</t>
  </si>
  <si>
    <t>Hal054-60-2-1</t>
  </si>
  <si>
    <t>Hal054-60-2-2</t>
  </si>
  <si>
    <t>Hal054-60-2-3</t>
  </si>
  <si>
    <t>Hal054-60-2-4</t>
  </si>
  <si>
    <t>Hal054-60-2-5</t>
  </si>
  <si>
    <t>Hal054-60-2-6</t>
  </si>
  <si>
    <t>Hal054-60-2-7</t>
  </si>
  <si>
    <t>Hal054-60-2-8</t>
  </si>
  <si>
    <t>Hal054-60-2-9</t>
  </si>
  <si>
    <t>Hal054-60-2-10</t>
  </si>
  <si>
    <t>Hal054-60-2-11</t>
  </si>
  <si>
    <t>Hal054-60-2-12</t>
  </si>
  <si>
    <t>Hal054-60-2-13</t>
  </si>
  <si>
    <t>Hal054-60-2-14</t>
  </si>
  <si>
    <t>Hal054-60-2-15</t>
  </si>
  <si>
    <t>Hal054-60-2-16</t>
  </si>
  <si>
    <t>Hal054-60-2-17</t>
  </si>
  <si>
    <t>Hal054-60-2-18</t>
  </si>
  <si>
    <t>Hal054-60-2-19</t>
  </si>
  <si>
    <t>Hal054-60-2-20</t>
  </si>
  <si>
    <t>Hal054-60-2-21</t>
  </si>
  <si>
    <t>Hal054-60-2-22</t>
  </si>
  <si>
    <t>Hal054-60-2-23</t>
  </si>
  <si>
    <t>Hal054-60-2-24</t>
  </si>
  <si>
    <t>Hal054-60-2-25</t>
  </si>
  <si>
    <t>Hal054-60-2-26</t>
  </si>
  <si>
    <t>Hal054-60-2-27</t>
  </si>
  <si>
    <t>Hal054-60-2-28</t>
  </si>
  <si>
    <t>Hal054-60-2-29</t>
  </si>
  <si>
    <t>Hal054-60-2-30</t>
  </si>
  <si>
    <t>Hal054-60-3-1</t>
  </si>
  <si>
    <t>Hal054-60-3-2</t>
  </si>
  <si>
    <t>Hal054-60-3-3</t>
  </si>
  <si>
    <t>Hal054-60-3-4</t>
  </si>
  <si>
    <t>Hal054-60-3-5</t>
  </si>
  <si>
    <t>Hal054-60-3-6</t>
  </si>
  <si>
    <t>Hal054-60-3-7</t>
  </si>
  <si>
    <t>Hal054-60-3-8</t>
  </si>
  <si>
    <t>Hal054-60-3-9</t>
  </si>
  <si>
    <t>Hal054-60-3-10</t>
  </si>
  <si>
    <t>Hal054-60-3-11</t>
  </si>
  <si>
    <t>Hal054-60-3-12</t>
  </si>
  <si>
    <t>Hal054-60-3-13</t>
  </si>
  <si>
    <t>Hal054-60-3-14</t>
  </si>
  <si>
    <t>Hal054-60-3-15</t>
  </si>
  <si>
    <t>Hal054-60-3-16</t>
  </si>
  <si>
    <t>Hal054-60-3-17</t>
  </si>
  <si>
    <t>Hal054-60-3-18</t>
  </si>
  <si>
    <t>Hal054-60-3-19</t>
  </si>
  <si>
    <t>Hal054-60-3-20</t>
  </si>
  <si>
    <t>Hal054-60-3-21</t>
  </si>
  <si>
    <t>Hal054-60-3-22</t>
  </si>
  <si>
    <t>Hal054-60-3-23</t>
  </si>
  <si>
    <t>Hal054-60-3-24</t>
  </si>
  <si>
    <t>Hal054-60-3-25</t>
  </si>
  <si>
    <t>Hal054-60-3-26</t>
  </si>
  <si>
    <t>Hal054-60-3-27</t>
  </si>
  <si>
    <t>Hal054-60-3-28</t>
  </si>
  <si>
    <t>Hal054-60-3-29</t>
  </si>
  <si>
    <t>Hal054-60-3-30</t>
  </si>
  <si>
    <t>No</t>
  </si>
  <si>
    <t>Yes</t>
  </si>
  <si>
    <t>bac_count1</t>
  </si>
  <si>
    <t>bead_count1</t>
  </si>
  <si>
    <t>bac_count2</t>
  </si>
  <si>
    <t>bead_count2</t>
  </si>
  <si>
    <t>bac_count3</t>
  </si>
  <si>
    <t>bead_count3</t>
  </si>
  <si>
    <t>final_vibrio/mL</t>
  </si>
  <si>
    <t>Hal281-30-4-w0</t>
  </si>
  <si>
    <t>Hal281-30-4-w2</t>
  </si>
  <si>
    <t>Hal281-30-4-w5</t>
  </si>
  <si>
    <t>Hal281-30-4-w10</t>
  </si>
  <si>
    <t>Hal281-30-4-w15</t>
  </si>
  <si>
    <t>Hal281-30-4-w30</t>
  </si>
  <si>
    <t>Hal281-30-5-w0</t>
  </si>
  <si>
    <t>Hal281-30-5-w2</t>
  </si>
  <si>
    <t>Hal281-30-5-w5</t>
  </si>
  <si>
    <t>Hal281-30-5-w10</t>
  </si>
  <si>
    <t>Hal281-30-5-w15</t>
  </si>
  <si>
    <t>Hal281-30-5-w30</t>
  </si>
  <si>
    <t>Hal281-30-6-w0</t>
  </si>
  <si>
    <t>Hal281-30-6-w2</t>
  </si>
  <si>
    <t>Hal281-30-6-w5</t>
  </si>
  <si>
    <t>Hal281-30-6-w10</t>
  </si>
  <si>
    <t>Hal281-30-6-w15</t>
  </si>
  <si>
    <t>Hal281-30-6-w30</t>
  </si>
  <si>
    <t>Hal281-60-4-w0</t>
  </si>
  <si>
    <t>Hal281-60-4-w2</t>
  </si>
  <si>
    <t>Hal281-60-4-w5</t>
  </si>
  <si>
    <t>Hal281-60-4-w10</t>
  </si>
  <si>
    <t>Hal281-60-4-w15</t>
  </si>
  <si>
    <t>Hal281-60-4-w30</t>
  </si>
  <si>
    <t>Hal281-60-4-w45</t>
  </si>
  <si>
    <t>Hal281-60-4-w60</t>
  </si>
  <si>
    <t>Hal281-60-5-w0</t>
  </si>
  <si>
    <t>Hal281-60-5-w2</t>
  </si>
  <si>
    <t>Hal281-60-5-w5</t>
  </si>
  <si>
    <t>Hal281-60-5-w10</t>
  </si>
  <si>
    <t>Hal281-60-5-w15</t>
  </si>
  <si>
    <t>Hal281-60-5-w30</t>
  </si>
  <si>
    <t>Hal281-60-5-w45</t>
  </si>
  <si>
    <t>Hal281-60-5-w60</t>
  </si>
  <si>
    <t>Hal281-60-6-w0</t>
  </si>
  <si>
    <t>Hal281-60-6-w2</t>
  </si>
  <si>
    <t>Hal281-60-6-w5</t>
  </si>
  <si>
    <t>Hal281-60-6-w10</t>
  </si>
  <si>
    <t>Hal281-60-6-w15</t>
  </si>
  <si>
    <t>Hal281-60-6-w30</t>
  </si>
  <si>
    <t>Hal281-60-6-w45</t>
  </si>
  <si>
    <t>Hal281-60-6-w60</t>
  </si>
  <si>
    <t>no</t>
  </si>
  <si>
    <t>bac_count4</t>
  </si>
  <si>
    <t>bead_count4</t>
  </si>
  <si>
    <t>Control30-1-t0</t>
  </si>
  <si>
    <t>Control30-1-t2</t>
  </si>
  <si>
    <t>Control30-1-t5</t>
  </si>
  <si>
    <t>Control30-1-t10</t>
  </si>
  <si>
    <t>Control30-1-t15</t>
  </si>
  <si>
    <t>Control30-1-t30</t>
  </si>
  <si>
    <t>Control30-2-t0</t>
  </si>
  <si>
    <t>Control30-2-t2</t>
  </si>
  <si>
    <t>Control30-2-t5</t>
  </si>
  <si>
    <t>Control30-2-t10</t>
  </si>
  <si>
    <t>Control30-2-t15</t>
  </si>
  <si>
    <t>Control30-2-t30</t>
  </si>
  <si>
    <t>Control30-3-t0</t>
  </si>
  <si>
    <t>Control30-3-t2</t>
  </si>
  <si>
    <t>Control30-3-t5</t>
  </si>
  <si>
    <t>Control30-3-t10</t>
  </si>
  <si>
    <t>Control30-3-t15</t>
  </si>
  <si>
    <t>Control30-3-t30</t>
  </si>
  <si>
    <t>Control60-1-t0</t>
  </si>
  <si>
    <t>Control60-1-t2</t>
  </si>
  <si>
    <t>Control60-1-t5</t>
  </si>
  <si>
    <t>Control60-1-t10</t>
  </si>
  <si>
    <t>Control60-1-t15</t>
  </si>
  <si>
    <t>Control60-1-t30</t>
  </si>
  <si>
    <t>Control60-1-t45</t>
  </si>
  <si>
    <t>Control60-1-t60</t>
  </si>
  <si>
    <t>Control60-2-t0</t>
  </si>
  <si>
    <t>Control60-2-t2</t>
  </si>
  <si>
    <t>Control60-2-t5</t>
  </si>
  <si>
    <t>Control60-2-t10</t>
  </si>
  <si>
    <t>Control60-2-t15</t>
  </si>
  <si>
    <t>Control60-2-t30</t>
  </si>
  <si>
    <t>Control60-2-t45</t>
  </si>
  <si>
    <t>Control60-2-t60</t>
  </si>
  <si>
    <t>Control60-3-t0</t>
  </si>
  <si>
    <t>Control60-3-t2</t>
  </si>
  <si>
    <t>Control60-3-t5</t>
  </si>
  <si>
    <t>Control60-3-t10</t>
  </si>
  <si>
    <t>Control60-3-t15</t>
  </si>
  <si>
    <t>Control60-3-t30</t>
  </si>
  <si>
    <t>Control60-3-t45</t>
  </si>
  <si>
    <t>Control60-3-t60</t>
  </si>
  <si>
    <t>Hal054-30-1-w0</t>
  </si>
  <si>
    <t>Hal054-30-1-w2</t>
  </si>
  <si>
    <t>Hal054-30-1-w5</t>
  </si>
  <si>
    <t>Hal054-30-1-w10</t>
  </si>
  <si>
    <t>Hal054-30-1-w15</t>
  </si>
  <si>
    <t>Hal054-30-1-w30</t>
  </si>
  <si>
    <t>Hal054-30-2-w0</t>
  </si>
  <si>
    <t>Hal054-30-2-w2</t>
  </si>
  <si>
    <t>Hal054-30-2-w5</t>
  </si>
  <si>
    <t>Hal054-30-2-w10</t>
  </si>
  <si>
    <t>Hal054-30-2-w15</t>
  </si>
  <si>
    <t>Hal054-30-2-w30</t>
  </si>
  <si>
    <t>Hal054-30-3-w0</t>
  </si>
  <si>
    <t>Hal054-30-3-w2</t>
  </si>
  <si>
    <t>Hal054-30-3-w5</t>
  </si>
  <si>
    <t>Hal054-30-3-w10</t>
  </si>
  <si>
    <t>Hal054-30-3-w15</t>
  </si>
  <si>
    <t>Hal054-30-3-w30</t>
  </si>
  <si>
    <t>Hal054-60-1-w0</t>
  </si>
  <si>
    <t>Hal054-60-1-w2</t>
  </si>
  <si>
    <t>Hal054-60-1-w5</t>
  </si>
  <si>
    <t>Hal054-60-1-w10</t>
  </si>
  <si>
    <t>Hal054-60-1-w15</t>
  </si>
  <si>
    <t>Hal054-60-1-w30</t>
  </si>
  <si>
    <t>Hal054-60-1-w45</t>
  </si>
  <si>
    <t>Hal054-60-1-w60</t>
  </si>
  <si>
    <t>Hal054-60-2-w0</t>
  </si>
  <si>
    <t>Hal054-60-2-w2</t>
  </si>
  <si>
    <t>Hal054-60-2-w5</t>
  </si>
  <si>
    <t>Hal054-60-2-w10</t>
  </si>
  <si>
    <t>Hal054-60-2-w15</t>
  </si>
  <si>
    <t>Hal054-60-2-w30</t>
  </si>
  <si>
    <t>Hal054-60-2-w45</t>
  </si>
  <si>
    <t>Hal054-60-2-w60</t>
  </si>
  <si>
    <t>Hal054-60-3-w0</t>
  </si>
  <si>
    <t>Hal054-60-3-w2</t>
  </si>
  <si>
    <t>Hal054-60-3-w5</t>
  </si>
  <si>
    <t>Hal054-60-3-w10</t>
  </si>
  <si>
    <t>Hal054-60-3-w15</t>
  </si>
  <si>
    <t>Hal054-60-3-w30</t>
  </si>
  <si>
    <t>Hal054-60-3-w45</t>
  </si>
  <si>
    <t>Hal054-60-3-w60</t>
  </si>
  <si>
    <t>sample_volume_µL</t>
  </si>
  <si>
    <t>dilution</t>
  </si>
  <si>
    <t>SA48-30-1-w0</t>
  </si>
  <si>
    <t>SA48-30-1-w2</t>
  </si>
  <si>
    <t>SA48-30-1-w5</t>
  </si>
  <si>
    <t>SA48-30-1-w10</t>
  </si>
  <si>
    <t>SA48-30-1-w15</t>
  </si>
  <si>
    <t>SA48-30-1-w30</t>
  </si>
  <si>
    <t>SA48-30-2-w0</t>
  </si>
  <si>
    <t>SA48-30-2-w2</t>
  </si>
  <si>
    <t>SA48-30-2-w5</t>
  </si>
  <si>
    <t>SA48-30-2-w10</t>
  </si>
  <si>
    <t>SA48-30-2-w15</t>
  </si>
  <si>
    <t>SA48-30-2-w30</t>
  </si>
  <si>
    <t>SA48-30-3-w0</t>
  </si>
  <si>
    <t>SA48-30-3-w2</t>
  </si>
  <si>
    <t>SA48-30-3-w5</t>
  </si>
  <si>
    <t>SA48-30-3-w10</t>
  </si>
  <si>
    <t>SA48-30-3-w15</t>
  </si>
  <si>
    <t>SA48-30-3-w30</t>
  </si>
  <si>
    <t>SA48-60-1-w0</t>
  </si>
  <si>
    <t>SA48-60-1-w2</t>
  </si>
  <si>
    <t>SA48-60-1-w5</t>
  </si>
  <si>
    <t>SA48-60-1-w10</t>
  </si>
  <si>
    <t>SA48-60-1-w15</t>
  </si>
  <si>
    <t>SA48-60-1-w30</t>
  </si>
  <si>
    <t>SA48-60-1-w45</t>
  </si>
  <si>
    <t>SA48-60-1-w60</t>
  </si>
  <si>
    <t>SA48-60-2-w0</t>
  </si>
  <si>
    <t>SA48-60-2-w2</t>
  </si>
  <si>
    <t>SA48-60-2-w5</t>
  </si>
  <si>
    <t>SA48-60-2-w10</t>
  </si>
  <si>
    <t>SA48-60-2-w15</t>
  </si>
  <si>
    <t>SA48-60-2-w30</t>
  </si>
  <si>
    <t>SA48-60-2-w45</t>
  </si>
  <si>
    <t>SA48-60-2-w60</t>
  </si>
  <si>
    <t>SA48-60-3-w0</t>
  </si>
  <si>
    <t>SA48-60-3-w2</t>
  </si>
  <si>
    <t>SA48-60-3-w5</t>
  </si>
  <si>
    <t>SA48-60-3-w10</t>
  </si>
  <si>
    <t>SA48-60-3-w15</t>
  </si>
  <si>
    <t>SA48-60-3-w30</t>
  </si>
  <si>
    <t>SA48-60-3-w45</t>
  </si>
  <si>
    <t>SA48-60-3-w60</t>
  </si>
  <si>
    <t>M31-30-1-w0</t>
  </si>
  <si>
    <t>M31-30-1-w2</t>
  </si>
  <si>
    <t>M31-30-1-w5</t>
  </si>
  <si>
    <t>M31-30-1-w10</t>
  </si>
  <si>
    <t>M31-30-1-w15</t>
  </si>
  <si>
    <t>M31-30-1-w30</t>
  </si>
  <si>
    <t>M31-30-2-w0</t>
  </si>
  <si>
    <t>M31-30-2-w5</t>
  </si>
  <si>
    <t>M31-30-2-w10</t>
  </si>
  <si>
    <t>M31-30-2-w15</t>
  </si>
  <si>
    <t>M31-30-2-w30</t>
  </si>
  <si>
    <t>M31-30-3-w0</t>
  </si>
  <si>
    <t>M31-30-3-w2</t>
  </si>
  <si>
    <t>M31-30-3-w5</t>
  </si>
  <si>
    <t>M31-30-3-w10</t>
  </si>
  <si>
    <t>M31-30-3-w15</t>
  </si>
  <si>
    <t>M31-30-3-w30</t>
  </si>
  <si>
    <t>M31-60-1-w0</t>
  </si>
  <si>
    <t>M31-60-1-w2</t>
  </si>
  <si>
    <t>M31-60-1-w5</t>
  </si>
  <si>
    <t>M31-60-1-w10</t>
  </si>
  <si>
    <t>M31-60-1-w15</t>
  </si>
  <si>
    <t>M31-60-1-w30</t>
  </si>
  <si>
    <t>M31-60-1-w45</t>
  </si>
  <si>
    <t>M31-60-1-w60</t>
  </si>
  <si>
    <t>M31-60-2-w0</t>
  </si>
  <si>
    <t>M31-60-2-w2</t>
  </si>
  <si>
    <t>M31-60-2-w5</t>
  </si>
  <si>
    <t>M31-60-2-w10</t>
  </si>
  <si>
    <t>M31-60-2-w15</t>
  </si>
  <si>
    <t>M31-60-2-w30</t>
  </si>
  <si>
    <t>M31-60-2-w45</t>
  </si>
  <si>
    <t>M31-60-2-w60</t>
  </si>
  <si>
    <t>M31-60-3-w0</t>
  </si>
  <si>
    <t>M31-60-3-w2</t>
  </si>
  <si>
    <t>M31-60-3-w5</t>
  </si>
  <si>
    <t>M31-60-3-w10</t>
  </si>
  <si>
    <t>M31-60-3-w15</t>
  </si>
  <si>
    <t>M31-60-3-w30</t>
  </si>
  <si>
    <t>M31-60-3-w45</t>
  </si>
  <si>
    <t>M31-60-3-w60</t>
  </si>
  <si>
    <t>M31-30-2-w2</t>
  </si>
  <si>
    <t>M70-30-1-w0</t>
  </si>
  <si>
    <t>M70-30-1-w2</t>
  </si>
  <si>
    <t>M70-30-1-w5</t>
  </si>
  <si>
    <t>M70-30-1-w10</t>
  </si>
  <si>
    <t>M70-30-1-w15</t>
  </si>
  <si>
    <t>M70-30-1-w30</t>
  </si>
  <si>
    <t>M70-30-2-w0</t>
  </si>
  <si>
    <t>M70-30-2-w2</t>
  </si>
  <si>
    <t>M70-30-2-w5</t>
  </si>
  <si>
    <t>M70-30-2-w10</t>
  </si>
  <si>
    <t>M70-30-2-w15</t>
  </si>
  <si>
    <t>M70-30-2-w30</t>
  </si>
  <si>
    <t>M70-30-3-w0</t>
  </si>
  <si>
    <t>M70-30-3-w2</t>
  </si>
  <si>
    <t>M70-30-3-w5</t>
  </si>
  <si>
    <t>M70-30-3-w10</t>
  </si>
  <si>
    <t>M70-30-3-w15</t>
  </si>
  <si>
    <t>M70-30-3-w30</t>
  </si>
  <si>
    <t>M70-60-1-w0</t>
  </si>
  <si>
    <t>M70-60-1-w2</t>
  </si>
  <si>
    <t>M70-60-1-w5</t>
  </si>
  <si>
    <t>M70-60-1-w10</t>
  </si>
  <si>
    <t>M70-60-1-w15</t>
  </si>
  <si>
    <t>M70-60-1-w30</t>
  </si>
  <si>
    <t>M70-60-1-w45</t>
  </si>
  <si>
    <t>M70-60-1-w60</t>
  </si>
  <si>
    <t>M70-60-2-w0</t>
  </si>
  <si>
    <t>M70-60-2-w2</t>
  </si>
  <si>
    <t>M70-60-2-w5</t>
  </si>
  <si>
    <t>M70-60-2-w10</t>
  </si>
  <si>
    <t>M70-60-2-w15</t>
  </si>
  <si>
    <t>M70-60-2-w30</t>
  </si>
  <si>
    <t>M70-60-2-w45</t>
  </si>
  <si>
    <t>M70-60-2-w60</t>
  </si>
  <si>
    <t>M70-60-3-w0</t>
  </si>
  <si>
    <t>M70-60-3-w2</t>
  </si>
  <si>
    <t>M70-60-3-w5</t>
  </si>
  <si>
    <t>M70-60-3-w10</t>
  </si>
  <si>
    <t>M70-60-3-w15</t>
  </si>
  <si>
    <t>M70-60-3-w30</t>
  </si>
  <si>
    <t>M70-60-3-w45</t>
  </si>
  <si>
    <t>M70-60-3-w60</t>
  </si>
  <si>
    <t>sponge_weight_g</t>
  </si>
  <si>
    <t>Rº2</t>
  </si>
  <si>
    <t>duraction_min</t>
  </si>
  <si>
    <t>Vibrio/L_t0.00001</t>
  </si>
  <si>
    <t>Vibrio/L_t0.0001</t>
  </si>
  <si>
    <t>Vibrio_diff</t>
  </si>
  <si>
    <t>time_diff_min</t>
  </si>
  <si>
    <t>Vibrio_uptake_min-1</t>
  </si>
  <si>
    <t>Vibrio_uptake_min-1_corrected</t>
  </si>
  <si>
    <t>strain_replicate</t>
  </si>
  <si>
    <t>M31-30-1</t>
  </si>
  <si>
    <t>M31-30-2</t>
  </si>
  <si>
    <t>M31-30-3</t>
  </si>
  <si>
    <t>M31-60-1</t>
  </si>
  <si>
    <t>M31-60-2</t>
  </si>
  <si>
    <t>M31-60-3</t>
  </si>
  <si>
    <t>M70-30-1</t>
  </si>
  <si>
    <t>M70-30-2</t>
  </si>
  <si>
    <t>M70-30-3</t>
  </si>
  <si>
    <t>M70-60-1</t>
  </si>
  <si>
    <t>M70-60-2</t>
  </si>
  <si>
    <t>M70-60-3</t>
  </si>
  <si>
    <t>Vibrio/mL_start</t>
  </si>
  <si>
    <t>Vibrio/mL_end</t>
  </si>
  <si>
    <t>perc_change</t>
  </si>
  <si>
    <t>1021450.897 * exp(-0.0143 * x)</t>
  </si>
  <si>
    <t>1017951.923 * exp(-0.00695 * x)</t>
  </si>
  <si>
    <t>1040133.68 * exp(-0.0108 * x)</t>
  </si>
  <si>
    <t>1058130.935 * exp(-0.01802 * x)</t>
  </si>
  <si>
    <t>1314042.989 * exp(-0.01472 * x)</t>
  </si>
  <si>
    <t xml:space="preserve">1119559.84 * exp(-0.01522 * x) </t>
  </si>
  <si>
    <t>Control30-1</t>
  </si>
  <si>
    <t>Control30-3</t>
  </si>
  <si>
    <t>replicate</t>
  </si>
  <si>
    <t>1557093.975 * exp(1)^(0.00387 * x)</t>
  </si>
  <si>
    <t>1955638.863 * exp(1)^(0.00183 * x)</t>
  </si>
  <si>
    <t>2241210.854 * exp(1)^(-0.00981 * x)</t>
  </si>
  <si>
    <t>2179579.471 * exp(1)^(-0.01718 * x)</t>
  </si>
  <si>
    <t>2163130.449 * exp(1)^(-0.01746 * x)</t>
  </si>
  <si>
    <t>2317079.755 * exp(1)^(-0.01836 * x)</t>
  </si>
  <si>
    <t>985075.477 * exp(1)^(-0.00588 * x)</t>
  </si>
  <si>
    <t>993636.798 * exp(1)^(-0.00629 * x)</t>
  </si>
  <si>
    <t>1076705.379 * exp(1)^(-0.00578 * x)</t>
  </si>
  <si>
    <t>1147028.281 * exp(1)^(-0.01022 * x)</t>
  </si>
  <si>
    <t>1113526.066 * exp(1)^(-0.01681 * x)</t>
  </si>
  <si>
    <t>1150847.52 * exp(1)^(-0.01124 * x)</t>
  </si>
  <si>
    <t>1099311.519 * exp(1)^(-0.01166 * x)</t>
  </si>
  <si>
    <t>1054748.236 * exp(1)^(-0.02346 * x)</t>
  </si>
  <si>
    <t>1044290.439 * exp(1)^(-0.01086 * x)</t>
  </si>
  <si>
    <t>1085642.052 * exp(1)^(-0.01745 * x)</t>
  </si>
  <si>
    <t>805624.826 * exp(1)^(-0.01433 * x)</t>
  </si>
  <si>
    <t>911426.545 * exp(1)^(-0.01092 * x)</t>
  </si>
  <si>
    <t>1049157.938 * exp(1)^(0.00363 * x)</t>
  </si>
  <si>
    <t>1329508.545 * exp(1)^(-0.00413 * x)</t>
  </si>
  <si>
    <t>1381605.095 * exp(1)^(-0.01344 * x)</t>
  </si>
  <si>
    <t>1355413.973 * exp(1)^(-0.01212 * x)</t>
  </si>
  <si>
    <t>1346229.245 * exp(1)^(-0.01704 * x)</t>
  </si>
  <si>
    <t>1364215.642 * exp(1)^(-0.0172 * x)</t>
  </si>
  <si>
    <t>avg_Vibrio/mL_start</t>
  </si>
  <si>
    <t>SD_Vibrio/mL_start</t>
  </si>
  <si>
    <t>norm_factor</t>
  </si>
  <si>
    <t>norm_vibrio/mL</t>
  </si>
  <si>
    <t>exp_function / linear for controls</t>
  </si>
  <si>
    <t>37348.098 + -157.88043 * x</t>
  </si>
  <si>
    <t>21941.087 + 70.21739 * x</t>
  </si>
  <si>
    <t>41790.489 + 110.59783 * x</t>
  </si>
  <si>
    <t>23430.87 + -85.31113 * x</t>
  </si>
  <si>
    <t>12385.709 + -5.96213 * x</t>
  </si>
  <si>
    <t>15588.288 + -68.30122 * x</t>
  </si>
  <si>
    <t>sponge_vol_mL</t>
  </si>
  <si>
    <t>Vibrio_uptake_min-1_mL-1</t>
  </si>
  <si>
    <t>avg_Vibrio_uptake_min-1_mL-1</t>
  </si>
  <si>
    <t>filtration_mL_min-1_mL-1</t>
  </si>
  <si>
    <t>F+</t>
  </si>
  <si>
    <t>M</t>
  </si>
  <si>
    <t>L</t>
  </si>
  <si>
    <t>Hal281-30-1-1</t>
  </si>
  <si>
    <t>Hal281-30-1-2</t>
  </si>
  <si>
    <t>Hal281-30-1-3</t>
  </si>
  <si>
    <t>Hal281-30-1-4</t>
  </si>
  <si>
    <t>Hal281-30-1-5</t>
  </si>
  <si>
    <t>Hal281-30-1-6</t>
  </si>
  <si>
    <t>Hal281-30-1-7</t>
  </si>
  <si>
    <t>Hal281-30-1-8</t>
  </si>
  <si>
    <t>Hal281-30-1-9</t>
  </si>
  <si>
    <t>Hal281-30-1-10</t>
  </si>
  <si>
    <t>Hal281-30-1-11</t>
  </si>
  <si>
    <t>Hal281-30-1-12</t>
  </si>
  <si>
    <t>Hal281-30-1-13</t>
  </si>
  <si>
    <t>Hal281-30-1-14</t>
  </si>
  <si>
    <t>Hal281-30-1-15</t>
  </si>
  <si>
    <t>Hal281-30-1-16</t>
  </si>
  <si>
    <t>Hal281-30-1-17</t>
  </si>
  <si>
    <t>Hal281-30-1-18</t>
  </si>
  <si>
    <t>Hal281-30-1-19</t>
  </si>
  <si>
    <t>Hal281-30-1-20</t>
  </si>
  <si>
    <t>Hal281-30-1-21</t>
  </si>
  <si>
    <t>Hal281-30-1-22</t>
  </si>
  <si>
    <t>Hal281-30-1-23</t>
  </si>
  <si>
    <t>Hal281-30-1-24</t>
  </si>
  <si>
    <t>Hal281-30-1-25</t>
  </si>
  <si>
    <t>Hal281-30-1-26</t>
  </si>
  <si>
    <t>Hal281-30-1-27</t>
  </si>
  <si>
    <t>Hal281-30-1-28</t>
  </si>
  <si>
    <t>Hal281-30-1-29</t>
  </si>
  <si>
    <t>Hal281-30-1-30</t>
  </si>
  <si>
    <t>Hal281-30-2-1</t>
  </si>
  <si>
    <t>Hal281-30-2-2</t>
  </si>
  <si>
    <t>Hal281-30-2-3</t>
  </si>
  <si>
    <t>Hal281-30-2-4</t>
  </si>
  <si>
    <t>Hal281-30-2-5</t>
  </si>
  <si>
    <t>Hal281-30-2-6</t>
  </si>
  <si>
    <t>Hal281-30-2-7</t>
  </si>
  <si>
    <t>Hal281-30-2-8</t>
  </si>
  <si>
    <t>Hal281-30-2-9</t>
  </si>
  <si>
    <t>Hal281-30-2-10</t>
  </si>
  <si>
    <t>Hal281-30-2-11</t>
  </si>
  <si>
    <t>Hal281-30-2-12</t>
  </si>
  <si>
    <t>Hal281-30-2-13</t>
  </si>
  <si>
    <t>Hal281-30-2-14</t>
  </si>
  <si>
    <t>Hal281-30-2-15</t>
  </si>
  <si>
    <t>Hal281-30-2-16</t>
  </si>
  <si>
    <t>Hal281-30-2-17</t>
  </si>
  <si>
    <t>Hal281-30-2-18</t>
  </si>
  <si>
    <t>Hal281-30-2-19</t>
  </si>
  <si>
    <t>Hal281-30-2-20</t>
  </si>
  <si>
    <t>Hal281-30-2-21</t>
  </si>
  <si>
    <t>Hal281-30-2-22</t>
  </si>
  <si>
    <t>Hal281-30-2-23</t>
  </si>
  <si>
    <t>Hal281-30-2-24</t>
  </si>
  <si>
    <t>Hal281-30-2-25</t>
  </si>
  <si>
    <t>Hal281-30-2-26</t>
  </si>
  <si>
    <t>Hal281-30-2-27</t>
  </si>
  <si>
    <t>Hal281-30-2-28</t>
  </si>
  <si>
    <t>Hal281-30-2-29</t>
  </si>
  <si>
    <t>Hal281-30-2-30</t>
  </si>
  <si>
    <t>Hal281-30-3-1</t>
  </si>
  <si>
    <t>Hal281-30-3-2</t>
  </si>
  <si>
    <t>Hal281-30-3-3</t>
  </si>
  <si>
    <t>Hal281-30-3-4</t>
  </si>
  <si>
    <t>Hal281-30-3-5</t>
  </si>
  <si>
    <t>Hal281-30-3-6</t>
  </si>
  <si>
    <t>Hal281-30-3-7</t>
  </si>
  <si>
    <t>Hal281-30-3-8</t>
  </si>
  <si>
    <t>Hal281-30-3-9</t>
  </si>
  <si>
    <t>Hal281-30-3-10</t>
  </si>
  <si>
    <t>Hal281-30-3-11</t>
  </si>
  <si>
    <t>Hal281-30-3-12</t>
  </si>
  <si>
    <t>Hal281-30-3-13</t>
  </si>
  <si>
    <t>Hal281-30-3-14</t>
  </si>
  <si>
    <t>Hal281-30-3-15</t>
  </si>
  <si>
    <t>Hal281-30-3-16</t>
  </si>
  <si>
    <t>Hal281-30-3-17</t>
  </si>
  <si>
    <t>Hal281-30-3-18</t>
  </si>
  <si>
    <t>Hal281-30-3-19</t>
  </si>
  <si>
    <t>Hal281-30-3-20</t>
  </si>
  <si>
    <t>Hal281-30-3-21</t>
  </si>
  <si>
    <t>Hal281-30-3-22</t>
  </si>
  <si>
    <t>Hal281-30-3-23</t>
  </si>
  <si>
    <t>Hal281-30-3-24</t>
  </si>
  <si>
    <t>Hal281-30-3-25</t>
  </si>
  <si>
    <t>Hal281-30-3-26</t>
  </si>
  <si>
    <t>Hal281-30-3-27</t>
  </si>
  <si>
    <t>Hal281-30-3-28</t>
  </si>
  <si>
    <t>Hal281-30-3-29</t>
  </si>
  <si>
    <t>Hal281-30-3-30</t>
  </si>
  <si>
    <t>Hal281-60-1-1</t>
  </si>
  <si>
    <t>Hal281-60-1-2</t>
  </si>
  <si>
    <t>Hal281-60-1-3</t>
  </si>
  <si>
    <t>Hal281-60-1-4</t>
  </si>
  <si>
    <t>Hal281-60-1-5</t>
  </si>
  <si>
    <t>Hal281-60-1-6</t>
  </si>
  <si>
    <t>Hal281-60-1-7</t>
  </si>
  <si>
    <t>Hal281-60-1-8</t>
  </si>
  <si>
    <t>Hal281-60-1-9</t>
  </si>
  <si>
    <t>Hal281-60-1-10</t>
  </si>
  <si>
    <t>Hal281-60-1-11</t>
  </si>
  <si>
    <t>Hal281-60-1-12</t>
  </si>
  <si>
    <t>Hal281-60-1-13</t>
  </si>
  <si>
    <t>Hal281-60-1-14</t>
  </si>
  <si>
    <t>Hal281-60-1-15</t>
  </si>
  <si>
    <t>Hal281-60-1-16</t>
  </si>
  <si>
    <t>Hal281-60-1-17</t>
  </si>
  <si>
    <t>Hal281-60-1-18</t>
  </si>
  <si>
    <t>Hal281-60-1-19</t>
  </si>
  <si>
    <t>Hal281-60-1-20</t>
  </si>
  <si>
    <t>Hal281-60-1-21</t>
  </si>
  <si>
    <t>Hal281-60-1-22</t>
  </si>
  <si>
    <t>Hal281-60-1-23</t>
  </si>
  <si>
    <t>Hal281-60-1-24</t>
  </si>
  <si>
    <t>Hal281-60-1-25</t>
  </si>
  <si>
    <t>Hal281-60-1-26</t>
  </si>
  <si>
    <t>Hal281-60-1-27</t>
  </si>
  <si>
    <t>Hal281-60-1-28</t>
  </si>
  <si>
    <t>Hal281-60-1-29</t>
  </si>
  <si>
    <t>Hal281-60-1-30</t>
  </si>
  <si>
    <t>Hal281-60-2-1</t>
  </si>
  <si>
    <t>Hal281-60-2-2</t>
  </si>
  <si>
    <t>Hal281-60-2-3</t>
  </si>
  <si>
    <t>Hal281-60-2-4</t>
  </si>
  <si>
    <t>Hal281-60-2-5</t>
  </si>
  <si>
    <t>Hal281-60-2-6</t>
  </si>
  <si>
    <t>Hal281-60-2-7</t>
  </si>
  <si>
    <t>Hal281-60-2-8</t>
  </si>
  <si>
    <t>Hal281-60-2-9</t>
  </si>
  <si>
    <t>Hal281-60-2-10</t>
  </si>
  <si>
    <t>Hal281-60-2-11</t>
  </si>
  <si>
    <t>Hal281-60-2-12</t>
  </si>
  <si>
    <t>Hal281-60-2-13</t>
  </si>
  <si>
    <t>Hal281-60-2-14</t>
  </si>
  <si>
    <t>Hal281-60-2-15</t>
  </si>
  <si>
    <t>Hal281-60-2-16</t>
  </si>
  <si>
    <t>Hal281-60-2-17</t>
  </si>
  <si>
    <t>Hal281-60-2-18</t>
  </si>
  <si>
    <t>Hal281-60-2-19</t>
  </si>
  <si>
    <t>Hal281-60-2-20</t>
  </si>
  <si>
    <t>Hal281-60-2-21</t>
  </si>
  <si>
    <t>Hal281-60-2-22</t>
  </si>
  <si>
    <t>Hal281-60-2-23</t>
  </si>
  <si>
    <t>Hal281-60-2-24</t>
  </si>
  <si>
    <t>Hal281-60-2-25</t>
  </si>
  <si>
    <t>Hal281-60-2-26</t>
  </si>
  <si>
    <t>Hal281-60-2-27</t>
  </si>
  <si>
    <t>Hal281-60-2-28</t>
  </si>
  <si>
    <t>Hal281-60-2-29</t>
  </si>
  <si>
    <t>Hal281-60-2-30</t>
  </si>
  <si>
    <t>Hal281-60-3-1</t>
  </si>
  <si>
    <t>Hal281-60-3-2</t>
  </si>
  <si>
    <t>Hal281-60-3-3</t>
  </si>
  <si>
    <t>Hal281-60-3-4</t>
  </si>
  <si>
    <t>Hal281-60-3-5</t>
  </si>
  <si>
    <t>Hal281-60-3-6</t>
  </si>
  <si>
    <t>Hal281-60-3-7</t>
  </si>
  <si>
    <t>Hal281-60-3-8</t>
  </si>
  <si>
    <t>Hal281-60-3-9</t>
  </si>
  <si>
    <t>Hal281-60-3-10</t>
  </si>
  <si>
    <t>Hal281-60-3-11</t>
  </si>
  <si>
    <t>Hal281-60-3-12</t>
  </si>
  <si>
    <t>Hal281-60-3-13</t>
  </si>
  <si>
    <t>Hal281-60-3-14</t>
  </si>
  <si>
    <t>Hal281-60-3-15</t>
  </si>
  <si>
    <t>Hal281-60-3-16</t>
  </si>
  <si>
    <t>Hal281-60-3-17</t>
  </si>
  <si>
    <t>Hal281-60-3-18</t>
  </si>
  <si>
    <t>Hal281-60-3-19</t>
  </si>
  <si>
    <t>Hal281-60-3-20</t>
  </si>
  <si>
    <t>Hal281-60-3-21</t>
  </si>
  <si>
    <t>Hal281-60-3-22</t>
  </si>
  <si>
    <t>Hal281-60-3-23</t>
  </si>
  <si>
    <t>Hal281-60-3-24</t>
  </si>
  <si>
    <t>Hal281-60-3-25</t>
  </si>
  <si>
    <t>Hal281-60-3-26</t>
  </si>
  <si>
    <t>Hal281-60-3-27</t>
  </si>
  <si>
    <t>Hal281-60-3-28</t>
  </si>
  <si>
    <t>Hal281-60-3-29</t>
  </si>
  <si>
    <t>Hal281-60-3-30</t>
  </si>
  <si>
    <t>SA48-30-1-1</t>
  </si>
  <si>
    <t>SA48-30-1-2</t>
  </si>
  <si>
    <t>SA48-30-1-3</t>
  </si>
  <si>
    <t>SA48-30-1-4</t>
  </si>
  <si>
    <t>SA48-30-1-5</t>
  </si>
  <si>
    <t>SA48-30-1-6</t>
  </si>
  <si>
    <t>SA48-30-1-7</t>
  </si>
  <si>
    <t>SA48-30-1-8</t>
  </si>
  <si>
    <t>SA48-30-1-9</t>
  </si>
  <si>
    <t>SA48-30-1-10</t>
  </si>
  <si>
    <t>SA48-30-1-11</t>
  </si>
  <si>
    <t>SA48-30-1-12</t>
  </si>
  <si>
    <t>SA48-30-1-13</t>
  </si>
  <si>
    <t>SA48-30-1-14</t>
  </si>
  <si>
    <t>SA48-30-1-15</t>
  </si>
  <si>
    <t>SA48-30-1-16</t>
  </si>
  <si>
    <t>SA48-30-1-17</t>
  </si>
  <si>
    <t>SA48-30-1-18</t>
  </si>
  <si>
    <t>SA48-30-1-19</t>
  </si>
  <si>
    <t>SA48-30-1-20</t>
  </si>
  <si>
    <t>SA48-30-1-21</t>
  </si>
  <si>
    <t>SA48-30-1-22</t>
  </si>
  <si>
    <t>SA48-30-1-23</t>
  </si>
  <si>
    <t>SA48-30-1-24</t>
  </si>
  <si>
    <t>SA48-30-1-25</t>
  </si>
  <si>
    <t>SA48-30-1-26</t>
  </si>
  <si>
    <t>SA48-30-1-27</t>
  </si>
  <si>
    <t>SA48-30-1-28</t>
  </si>
  <si>
    <t>SA48-30-1-29</t>
  </si>
  <si>
    <t>SA48-30-1-30</t>
  </si>
  <si>
    <t>SA48-30-2-1</t>
  </si>
  <si>
    <t>SA48-30-2-2</t>
  </si>
  <si>
    <t>SA48-30-2-3</t>
  </si>
  <si>
    <t>SA48-30-2-4</t>
  </si>
  <si>
    <t>SA48-30-2-5</t>
  </si>
  <si>
    <t>SA48-30-2-6</t>
  </si>
  <si>
    <t>SA48-30-2-7</t>
  </si>
  <si>
    <t>SA48-30-2-8</t>
  </si>
  <si>
    <t>SA48-30-2-9</t>
  </si>
  <si>
    <t>SA48-30-2-10</t>
  </si>
  <si>
    <t>SA48-30-2-11</t>
  </si>
  <si>
    <t>SA48-30-2-12</t>
  </si>
  <si>
    <t>SA48-30-2-13</t>
  </si>
  <si>
    <t>SA48-30-2-14</t>
  </si>
  <si>
    <t>SA48-30-2-15</t>
  </si>
  <si>
    <t>SA48-30-2-16</t>
  </si>
  <si>
    <t>SA48-30-2-17</t>
  </si>
  <si>
    <t>SA48-30-2-18</t>
  </si>
  <si>
    <t>SA48-30-2-19</t>
  </si>
  <si>
    <t>SA48-30-2-20</t>
  </si>
  <si>
    <t>SA48-30-2-21</t>
  </si>
  <si>
    <t>SA48-30-2-22</t>
  </si>
  <si>
    <t>SA48-30-2-23</t>
  </si>
  <si>
    <t>SA48-30-2-24</t>
  </si>
  <si>
    <t>SA48-30-2-25</t>
  </si>
  <si>
    <t>SA48-30-2-26</t>
  </si>
  <si>
    <t>SA48-30-2-27</t>
  </si>
  <si>
    <t>SA48-30-2-28</t>
  </si>
  <si>
    <t>SA48-30-2-29</t>
  </si>
  <si>
    <t>SA48-30-2-30</t>
  </si>
  <si>
    <t>SA48-30-3-1</t>
  </si>
  <si>
    <t>SA48-30-3-2</t>
  </si>
  <si>
    <t>SA48-30-3-3</t>
  </si>
  <si>
    <t>SA48-30-3-4</t>
  </si>
  <si>
    <t>SA48-30-3-5</t>
  </si>
  <si>
    <t>SA48-30-3-6</t>
  </si>
  <si>
    <t>SA48-30-3-7</t>
  </si>
  <si>
    <t>SA48-30-3-8</t>
  </si>
  <si>
    <t>SA48-30-3-9</t>
  </si>
  <si>
    <t>SA48-30-3-10</t>
  </si>
  <si>
    <t>SA48-30-3-11</t>
  </si>
  <si>
    <t>SA48-30-3-12</t>
  </si>
  <si>
    <t>SA48-30-3-13</t>
  </si>
  <si>
    <t>SA48-30-3-14</t>
  </si>
  <si>
    <t>SA48-30-3-15</t>
  </si>
  <si>
    <t>SA48-30-3-16</t>
  </si>
  <si>
    <t>SA48-30-3-17</t>
  </si>
  <si>
    <t>SA48-30-3-18</t>
  </si>
  <si>
    <t>SA48-30-3-19</t>
  </si>
  <si>
    <t>SA48-30-3-20</t>
  </si>
  <si>
    <t>SA48-30-3-21</t>
  </si>
  <si>
    <t>SA48-30-3-22</t>
  </si>
  <si>
    <t>SA48-30-3-23</t>
  </si>
  <si>
    <t>SA48-30-3-24</t>
  </si>
  <si>
    <t>SA48-30-3-25</t>
  </si>
  <si>
    <t>SA48-30-3-26</t>
  </si>
  <si>
    <t>SA48-30-3-27</t>
  </si>
  <si>
    <t>SA48-30-3-28</t>
  </si>
  <si>
    <t>SA48-30-3-29</t>
  </si>
  <si>
    <t>SA48-30-3-30</t>
  </si>
  <si>
    <t>SA48-60-1-1</t>
  </si>
  <si>
    <t>SA48-60-1-2</t>
  </si>
  <si>
    <t>SA48-60-1-3</t>
  </si>
  <si>
    <t>SA48-60-1-4</t>
  </si>
  <si>
    <t>SA48-60-1-5</t>
  </si>
  <si>
    <t>SA48-60-1-6</t>
  </si>
  <si>
    <t>SA48-60-1-7</t>
  </si>
  <si>
    <t>SA48-60-1-8</t>
  </si>
  <si>
    <t>SA48-60-1-9</t>
  </si>
  <si>
    <t>SA48-60-1-10</t>
  </si>
  <si>
    <t>SA48-60-1-11</t>
  </si>
  <si>
    <t>SA48-60-1-12</t>
  </si>
  <si>
    <t>SA48-60-1-13</t>
  </si>
  <si>
    <t>SA48-60-1-14</t>
  </si>
  <si>
    <t>SA48-60-1-15</t>
  </si>
  <si>
    <t>SA48-60-1-16</t>
  </si>
  <si>
    <t>SA48-60-1-17</t>
  </si>
  <si>
    <t>SA48-60-1-18</t>
  </si>
  <si>
    <t>SA48-60-1-19</t>
  </si>
  <si>
    <t>SA48-60-1-20</t>
  </si>
  <si>
    <t>SA48-60-1-21</t>
  </si>
  <si>
    <t>SA48-60-1-22</t>
  </si>
  <si>
    <t>SA48-60-1-23</t>
  </si>
  <si>
    <t>SA48-60-1-24</t>
  </si>
  <si>
    <t>SA48-60-1-25</t>
  </si>
  <si>
    <t>SA48-60-1-26</t>
  </si>
  <si>
    <t>SA48-60-1-27</t>
  </si>
  <si>
    <t>SA48-60-1-28</t>
  </si>
  <si>
    <t>SA48-60-1-29</t>
  </si>
  <si>
    <t>SA48-60-1-30</t>
  </si>
  <si>
    <t>SA48-60-2-1</t>
  </si>
  <si>
    <t>SA48-60-2-2</t>
  </si>
  <si>
    <t>SA48-60-2-3</t>
  </si>
  <si>
    <t>SA48-60-2-4</t>
  </si>
  <si>
    <t>SA48-60-2-5</t>
  </si>
  <si>
    <t>SA48-60-2-6</t>
  </si>
  <si>
    <t>SA48-60-2-7</t>
  </si>
  <si>
    <t>SA48-60-2-8</t>
  </si>
  <si>
    <t>SA48-60-2-9</t>
  </si>
  <si>
    <t>SA48-60-2-10</t>
  </si>
  <si>
    <t>SA48-60-2-11</t>
  </si>
  <si>
    <t>SA48-60-2-12</t>
  </si>
  <si>
    <t>SA48-60-2-13</t>
  </si>
  <si>
    <t>SA48-60-2-14</t>
  </si>
  <si>
    <t>SA48-60-2-15</t>
  </si>
  <si>
    <t>SA48-60-2-16</t>
  </si>
  <si>
    <t>SA48-60-2-17</t>
  </si>
  <si>
    <t>SA48-60-2-18</t>
  </si>
  <si>
    <t>SA48-60-2-19</t>
  </si>
  <si>
    <t>SA48-60-2-20</t>
  </si>
  <si>
    <t>SA48-60-2-21</t>
  </si>
  <si>
    <t>SA48-60-2-22</t>
  </si>
  <si>
    <t>SA48-60-2-23</t>
  </si>
  <si>
    <t>SA48-60-2-24</t>
  </si>
  <si>
    <t>SA48-60-2-25</t>
  </si>
  <si>
    <t>SA48-60-2-26</t>
  </si>
  <si>
    <t>SA48-60-2-27</t>
  </si>
  <si>
    <t>SA48-60-2-28</t>
  </si>
  <si>
    <t>SA48-60-2-29</t>
  </si>
  <si>
    <t>SA48-60-2-30</t>
  </si>
  <si>
    <t>SA48-60-3-1</t>
  </si>
  <si>
    <t>SA48-60-3-2</t>
  </si>
  <si>
    <t>SA48-60-3-3</t>
  </si>
  <si>
    <t>SA48-60-3-4</t>
  </si>
  <si>
    <t>SA48-60-3-5</t>
  </si>
  <si>
    <t>SA48-60-3-6</t>
  </si>
  <si>
    <t>SA48-60-3-7</t>
  </si>
  <si>
    <t>SA48-60-3-8</t>
  </si>
  <si>
    <t>SA48-60-3-9</t>
  </si>
  <si>
    <t>SA48-60-3-10</t>
  </si>
  <si>
    <t>SA48-60-3-11</t>
  </si>
  <si>
    <t>SA48-60-3-12</t>
  </si>
  <si>
    <t>SA48-60-3-13</t>
  </si>
  <si>
    <t>SA48-60-3-14</t>
  </si>
  <si>
    <t>SA48-60-3-15</t>
  </si>
  <si>
    <t>SA48-60-3-16</t>
  </si>
  <si>
    <t>SA48-60-3-17</t>
  </si>
  <si>
    <t>SA48-60-3-18</t>
  </si>
  <si>
    <t>SA48-60-3-19</t>
  </si>
  <si>
    <t>SA48-60-3-20</t>
  </si>
  <si>
    <t>SA48-60-3-21</t>
  </si>
  <si>
    <t>SA48-60-3-22</t>
  </si>
  <si>
    <t>SA48-60-3-23</t>
  </si>
  <si>
    <t>SA48-60-3-24</t>
  </si>
  <si>
    <t>SA48-60-3-25</t>
  </si>
  <si>
    <t>SA48-60-3-26</t>
  </si>
  <si>
    <t>SA48-60-3-27</t>
  </si>
  <si>
    <t>SA48-60-3-28</t>
  </si>
  <si>
    <t>SA48-60-3-29</t>
  </si>
  <si>
    <t>SA48-60-3-30</t>
  </si>
  <si>
    <t>M31-30-1-1</t>
  </si>
  <si>
    <t>M31-30-1-2</t>
  </si>
  <si>
    <t>M31-30-1-3</t>
  </si>
  <si>
    <t>M31-30-1-4</t>
  </si>
  <si>
    <t>M31-30-1-5</t>
  </si>
  <si>
    <t>M31-30-1-6</t>
  </si>
  <si>
    <t>M31-30-1-7</t>
  </si>
  <si>
    <t>M31-30-1-8</t>
  </si>
  <si>
    <t>M31-30-1-9</t>
  </si>
  <si>
    <t>M31-30-1-10</t>
  </si>
  <si>
    <t>M31-30-1-11</t>
  </si>
  <si>
    <t>M31-30-1-12</t>
  </si>
  <si>
    <t>M31-30-1-13</t>
  </si>
  <si>
    <t>M31-30-1-14</t>
  </si>
  <si>
    <t>M31-30-1-15</t>
  </si>
  <si>
    <t>M31-30-1-16</t>
  </si>
  <si>
    <t>M31-30-1-17</t>
  </si>
  <si>
    <t>M31-30-1-18</t>
  </si>
  <si>
    <t>M31-30-1-19</t>
  </si>
  <si>
    <t>M31-30-1-20</t>
  </si>
  <si>
    <t>M31-30-1-21</t>
  </si>
  <si>
    <t>M31-30-1-22</t>
  </si>
  <si>
    <t>M31-30-1-23</t>
  </si>
  <si>
    <t>M31-30-1-24</t>
  </si>
  <si>
    <t>M31-30-1-25</t>
  </si>
  <si>
    <t>M31-30-1-26</t>
  </si>
  <si>
    <t>M31-30-1-27</t>
  </si>
  <si>
    <t>M31-30-1-28</t>
  </si>
  <si>
    <t>M31-30-1-29</t>
  </si>
  <si>
    <t>M31-30-1-30</t>
  </si>
  <si>
    <t>M31-30-2-1</t>
  </si>
  <si>
    <t>M31-30-2-2</t>
  </si>
  <si>
    <t>M31-30-2-3</t>
  </si>
  <si>
    <t>M31-30-2-4</t>
  </si>
  <si>
    <t>M31-30-2-5</t>
  </si>
  <si>
    <t>M31-30-2-6</t>
  </si>
  <si>
    <t>M31-30-2-7</t>
  </si>
  <si>
    <t>M31-30-2-8</t>
  </si>
  <si>
    <t>M31-30-2-9</t>
  </si>
  <si>
    <t>M31-30-2-10</t>
  </si>
  <si>
    <t>M31-30-2-11</t>
  </si>
  <si>
    <t>M31-30-2-12</t>
  </si>
  <si>
    <t>M31-30-2-13</t>
  </si>
  <si>
    <t>M31-30-2-14</t>
  </si>
  <si>
    <t>M31-30-2-15</t>
  </si>
  <si>
    <t>M31-30-2-16</t>
  </si>
  <si>
    <t>M31-30-2-17</t>
  </si>
  <si>
    <t>M31-30-2-18</t>
  </si>
  <si>
    <t>M31-30-2-19</t>
  </si>
  <si>
    <t>M31-30-2-20</t>
  </si>
  <si>
    <t>M31-30-2-21</t>
  </si>
  <si>
    <t>M31-30-2-22</t>
  </si>
  <si>
    <t>M31-30-2-23</t>
  </si>
  <si>
    <t>M31-30-2-24</t>
  </si>
  <si>
    <t>M31-30-2-25</t>
  </si>
  <si>
    <t>M31-30-2-26</t>
  </si>
  <si>
    <t>M31-30-2-27</t>
  </si>
  <si>
    <t>M31-30-2-28</t>
  </si>
  <si>
    <t>M31-30-2-29</t>
  </si>
  <si>
    <t>M31-30-2-30</t>
  </si>
  <si>
    <t>M31-30-3-1</t>
  </si>
  <si>
    <t>M31-30-3-2</t>
  </si>
  <si>
    <t>M31-30-3-3</t>
  </si>
  <si>
    <t>M31-30-3-4</t>
  </si>
  <si>
    <t>M31-30-3-5</t>
  </si>
  <si>
    <t>M31-30-3-6</t>
  </si>
  <si>
    <t>M31-30-3-7</t>
  </si>
  <si>
    <t>M31-30-3-8</t>
  </si>
  <si>
    <t>M31-30-3-9</t>
  </si>
  <si>
    <t>M31-30-3-10</t>
  </si>
  <si>
    <t>M31-30-3-11</t>
  </si>
  <si>
    <t>M31-30-3-12</t>
  </si>
  <si>
    <t>M31-30-3-13</t>
  </si>
  <si>
    <t>M31-30-3-14</t>
  </si>
  <si>
    <t>M31-30-3-15</t>
  </si>
  <si>
    <t>M31-30-3-16</t>
  </si>
  <si>
    <t>M31-30-3-17</t>
  </si>
  <si>
    <t>M31-30-3-18</t>
  </si>
  <si>
    <t>M31-30-3-19</t>
  </si>
  <si>
    <t>M31-30-3-20</t>
  </si>
  <si>
    <t>M31-30-3-21</t>
  </si>
  <si>
    <t>M31-30-3-22</t>
  </si>
  <si>
    <t>M31-30-3-23</t>
  </si>
  <si>
    <t>M31-30-3-24</t>
  </si>
  <si>
    <t>M31-30-3-25</t>
  </si>
  <si>
    <t>M31-30-3-26</t>
  </si>
  <si>
    <t>M31-30-3-27</t>
  </si>
  <si>
    <t>M31-30-3-28</t>
  </si>
  <si>
    <t>M31-30-3-29</t>
  </si>
  <si>
    <t>M31-30-3-30</t>
  </si>
  <si>
    <t>M31-60-1-1</t>
  </si>
  <si>
    <t>M31-60-1-2</t>
  </si>
  <si>
    <t>M31-60-1-3</t>
  </si>
  <si>
    <t>M31-60-1-4</t>
  </si>
  <si>
    <t>M31-60-1-5</t>
  </si>
  <si>
    <t>M31-60-1-6</t>
  </si>
  <si>
    <t>M31-60-1-7</t>
  </si>
  <si>
    <t>M31-60-1-8</t>
  </si>
  <si>
    <t>M31-60-1-9</t>
  </si>
  <si>
    <t>M31-60-1-10</t>
  </si>
  <si>
    <t>M31-60-1-11</t>
  </si>
  <si>
    <t>M31-60-1-12</t>
  </si>
  <si>
    <t>M31-60-1-13</t>
  </si>
  <si>
    <t>M31-60-1-14</t>
  </si>
  <si>
    <t>M31-60-1-15</t>
  </si>
  <si>
    <t>M31-60-1-16</t>
  </si>
  <si>
    <t>M31-60-1-17</t>
  </si>
  <si>
    <t>M31-60-1-18</t>
  </si>
  <si>
    <t>M31-60-1-19</t>
  </si>
  <si>
    <t>M31-60-1-20</t>
  </si>
  <si>
    <t>M31-60-1-21</t>
  </si>
  <si>
    <t>M31-60-1-22</t>
  </si>
  <si>
    <t>M31-60-1-23</t>
  </si>
  <si>
    <t>M31-60-1-24</t>
  </si>
  <si>
    <t>M31-60-1-25</t>
  </si>
  <si>
    <t>M31-60-1-26</t>
  </si>
  <si>
    <t>M31-60-1-27</t>
  </si>
  <si>
    <t>M31-60-1-28</t>
  </si>
  <si>
    <t>M31-60-1-29</t>
  </si>
  <si>
    <t>M31-60-1-30</t>
  </si>
  <si>
    <t>M31-60-2-1</t>
  </si>
  <si>
    <t>M31-60-2-2</t>
  </si>
  <si>
    <t>M31-60-2-3</t>
  </si>
  <si>
    <t>M31-60-2-4</t>
  </si>
  <si>
    <t>M31-60-2-5</t>
  </si>
  <si>
    <t>M31-60-2-6</t>
  </si>
  <si>
    <t>M31-60-2-7</t>
  </si>
  <si>
    <t>M31-60-2-8</t>
  </si>
  <si>
    <t>M31-60-2-9</t>
  </si>
  <si>
    <t>M31-60-2-10</t>
  </si>
  <si>
    <t>M31-60-2-11</t>
  </si>
  <si>
    <t>M31-60-2-12</t>
  </si>
  <si>
    <t>M31-60-2-13</t>
  </si>
  <si>
    <t>M31-60-2-14</t>
  </si>
  <si>
    <t>M31-60-2-15</t>
  </si>
  <si>
    <t>M31-60-2-16</t>
  </si>
  <si>
    <t>M31-60-2-17</t>
  </si>
  <si>
    <t>M31-60-2-18</t>
  </si>
  <si>
    <t>M31-60-2-19</t>
  </si>
  <si>
    <t>M31-60-2-20</t>
  </si>
  <si>
    <t>M31-60-2-21</t>
  </si>
  <si>
    <t>M31-60-2-22</t>
  </si>
  <si>
    <t>M31-60-2-23</t>
  </si>
  <si>
    <t>M31-60-2-24</t>
  </si>
  <si>
    <t>M31-60-2-25</t>
  </si>
  <si>
    <t>M31-60-2-26</t>
  </si>
  <si>
    <t>M31-60-2-27</t>
  </si>
  <si>
    <t>M31-60-2-28</t>
  </si>
  <si>
    <t>M31-60-2-29</t>
  </si>
  <si>
    <t>M31-60-2-30</t>
  </si>
  <si>
    <t>M31-60-3-1</t>
  </si>
  <si>
    <t>M31-60-3-2</t>
  </si>
  <si>
    <t>M31-60-3-3</t>
  </si>
  <si>
    <t>M31-60-3-4</t>
  </si>
  <si>
    <t>M31-60-3-5</t>
  </si>
  <si>
    <t>M31-60-3-6</t>
  </si>
  <si>
    <t>M31-60-3-7</t>
  </si>
  <si>
    <t>M31-60-3-8</t>
  </si>
  <si>
    <t>M31-60-3-9</t>
  </si>
  <si>
    <t>M31-60-3-10</t>
  </si>
  <si>
    <t>M31-60-3-11</t>
  </si>
  <si>
    <t>M31-60-3-12</t>
  </si>
  <si>
    <t>M31-60-3-13</t>
  </si>
  <si>
    <t>M31-60-3-14</t>
  </si>
  <si>
    <t>M31-60-3-15</t>
  </si>
  <si>
    <t>M31-60-3-16</t>
  </si>
  <si>
    <t>M31-60-3-17</t>
  </si>
  <si>
    <t>M31-60-3-18</t>
  </si>
  <si>
    <t>M31-60-3-19</t>
  </si>
  <si>
    <t>M31-60-3-20</t>
  </si>
  <si>
    <t>M31-60-3-21</t>
  </si>
  <si>
    <t>M31-60-3-22</t>
  </si>
  <si>
    <t>M31-60-3-23</t>
  </si>
  <si>
    <t>M31-60-3-24</t>
  </si>
  <si>
    <t>M31-60-3-25</t>
  </si>
  <si>
    <t>M31-60-3-26</t>
  </si>
  <si>
    <t>M31-60-3-27</t>
  </si>
  <si>
    <t>M31-60-3-28</t>
  </si>
  <si>
    <t>M31-60-3-29</t>
  </si>
  <si>
    <t>M31-60-3-30</t>
  </si>
  <si>
    <t>M70-30-1-1</t>
  </si>
  <si>
    <t>M70-30-1-2</t>
  </si>
  <si>
    <t>M70-30-1-3</t>
  </si>
  <si>
    <t>M70-30-1-4</t>
  </si>
  <si>
    <t>M70-30-1-5</t>
  </si>
  <si>
    <t>M70-30-1-6</t>
  </si>
  <si>
    <t>M70-30-1-7</t>
  </si>
  <si>
    <t>M70-30-1-8</t>
  </si>
  <si>
    <t>M70-30-1-9</t>
  </si>
  <si>
    <t>M70-30-1-10</t>
  </si>
  <si>
    <t>M70-30-1-11</t>
  </si>
  <si>
    <t>M70-30-1-12</t>
  </si>
  <si>
    <t>M70-30-1-13</t>
  </si>
  <si>
    <t>M70-30-1-14</t>
  </si>
  <si>
    <t>M70-30-1-15</t>
  </si>
  <si>
    <t>M70-30-1-16</t>
  </si>
  <si>
    <t>M70-30-1-17</t>
  </si>
  <si>
    <t>M70-30-1-18</t>
  </si>
  <si>
    <t>M70-30-1-19</t>
  </si>
  <si>
    <t>M70-30-1-20</t>
  </si>
  <si>
    <t>M70-30-1-21</t>
  </si>
  <si>
    <t>M70-30-1-22</t>
  </si>
  <si>
    <t>M70-30-1-23</t>
  </si>
  <si>
    <t>M70-30-1-24</t>
  </si>
  <si>
    <t>M70-30-1-25</t>
  </si>
  <si>
    <t>M70-30-1-26</t>
  </si>
  <si>
    <t>M70-30-1-27</t>
  </si>
  <si>
    <t>M70-30-1-28</t>
  </si>
  <si>
    <t>M70-30-1-29</t>
  </si>
  <si>
    <t>M70-30-1-30</t>
  </si>
  <si>
    <t>M70-30-2-1</t>
  </si>
  <si>
    <t>M70-30-2-2</t>
  </si>
  <si>
    <t>M70-30-2-3</t>
  </si>
  <si>
    <t>M70-30-2-4</t>
  </si>
  <si>
    <t>M70-30-2-5</t>
  </si>
  <si>
    <t>M70-30-2-6</t>
  </si>
  <si>
    <t>M70-30-2-7</t>
  </si>
  <si>
    <t>M70-30-2-8</t>
  </si>
  <si>
    <t>M70-30-2-9</t>
  </si>
  <si>
    <t>M70-30-2-10</t>
  </si>
  <si>
    <t>M70-30-2-11</t>
  </si>
  <si>
    <t>M70-30-2-12</t>
  </si>
  <si>
    <t>M70-30-2-13</t>
  </si>
  <si>
    <t>M70-30-2-14</t>
  </si>
  <si>
    <t>M70-30-2-15</t>
  </si>
  <si>
    <t>M70-30-2-16</t>
  </si>
  <si>
    <t>M70-30-2-17</t>
  </si>
  <si>
    <t>M70-30-2-18</t>
  </si>
  <si>
    <t>M70-30-2-19</t>
  </si>
  <si>
    <t>M70-30-2-20</t>
  </si>
  <si>
    <t>M70-30-2-21</t>
  </si>
  <si>
    <t>M70-30-2-22</t>
  </si>
  <si>
    <t>M70-30-2-23</t>
  </si>
  <si>
    <t>M70-30-2-24</t>
  </si>
  <si>
    <t>M70-30-2-25</t>
  </si>
  <si>
    <t>M70-30-2-26</t>
  </si>
  <si>
    <t>M70-30-2-27</t>
  </si>
  <si>
    <t>M70-30-2-28</t>
  </si>
  <si>
    <t>M70-30-2-29</t>
  </si>
  <si>
    <t>M70-30-2-30</t>
  </si>
  <si>
    <t>M70-30-3-1</t>
  </si>
  <si>
    <t>M70-30-3-2</t>
  </si>
  <si>
    <t>M70-30-3-3</t>
  </si>
  <si>
    <t>M70-30-3-4</t>
  </si>
  <si>
    <t>M70-30-3-5</t>
  </si>
  <si>
    <t>M70-30-3-6</t>
  </si>
  <si>
    <t>M70-30-3-7</t>
  </si>
  <si>
    <t>M70-30-3-8</t>
  </si>
  <si>
    <t>M70-30-3-9</t>
  </si>
  <si>
    <t>M70-30-3-10</t>
  </si>
  <si>
    <t>M70-30-3-11</t>
  </si>
  <si>
    <t>M70-30-3-12</t>
  </si>
  <si>
    <t>M70-30-3-13</t>
  </si>
  <si>
    <t>M70-30-3-14</t>
  </si>
  <si>
    <t>M70-30-3-15</t>
  </si>
  <si>
    <t>M70-30-3-16</t>
  </si>
  <si>
    <t>M70-30-3-17</t>
  </si>
  <si>
    <t>M70-30-3-18</t>
  </si>
  <si>
    <t>M70-30-3-19</t>
  </si>
  <si>
    <t>M70-30-3-20</t>
  </si>
  <si>
    <t>M70-30-3-21</t>
  </si>
  <si>
    <t>M70-30-3-22</t>
  </si>
  <si>
    <t>M70-30-3-23</t>
  </si>
  <si>
    <t>M70-30-3-24</t>
  </si>
  <si>
    <t>M70-30-3-25</t>
  </si>
  <si>
    <t>M70-30-3-26</t>
  </si>
  <si>
    <t>M70-30-3-27</t>
  </si>
  <si>
    <t>M70-30-3-28</t>
  </si>
  <si>
    <t>M70-30-3-29</t>
  </si>
  <si>
    <t>M70-30-3-30</t>
  </si>
  <si>
    <t>M70-60-1-1</t>
  </si>
  <si>
    <t>M70-60-1-2</t>
  </si>
  <si>
    <t>M70-60-1-3</t>
  </si>
  <si>
    <t>M70-60-1-4</t>
  </si>
  <si>
    <t>M70-60-1-5</t>
  </si>
  <si>
    <t>M70-60-1-6</t>
  </si>
  <si>
    <t>M70-60-1-7</t>
  </si>
  <si>
    <t>M70-60-1-8</t>
  </si>
  <si>
    <t>M70-60-1-9</t>
  </si>
  <si>
    <t>M70-60-1-10</t>
  </si>
  <si>
    <t>M70-60-1-11</t>
  </si>
  <si>
    <t>M70-60-1-12</t>
  </si>
  <si>
    <t>M70-60-1-13</t>
  </si>
  <si>
    <t>M70-60-1-14</t>
  </si>
  <si>
    <t>M70-60-1-15</t>
  </si>
  <si>
    <t>M70-60-1-16</t>
  </si>
  <si>
    <t>M70-60-1-17</t>
  </si>
  <si>
    <t>M70-60-1-18</t>
  </si>
  <si>
    <t>M70-60-1-19</t>
  </si>
  <si>
    <t>M70-60-1-20</t>
  </si>
  <si>
    <t>M70-60-1-21</t>
  </si>
  <si>
    <t>M70-60-1-22</t>
  </si>
  <si>
    <t>M70-60-1-23</t>
  </si>
  <si>
    <t>M70-60-1-24</t>
  </si>
  <si>
    <t>M70-60-1-25</t>
  </si>
  <si>
    <t>M70-60-1-26</t>
  </si>
  <si>
    <t>M70-60-1-27</t>
  </si>
  <si>
    <t>M70-60-1-28</t>
  </si>
  <si>
    <t>M70-60-1-29</t>
  </si>
  <si>
    <t>M70-60-1-30</t>
  </si>
  <si>
    <t>M70-60-2-1</t>
  </si>
  <si>
    <t>M70-60-2-2</t>
  </si>
  <si>
    <t>M70-60-2-3</t>
  </si>
  <si>
    <t>M70-60-2-4</t>
  </si>
  <si>
    <t>M70-60-2-5</t>
  </si>
  <si>
    <t>M70-60-2-6</t>
  </si>
  <si>
    <t>M70-60-2-7</t>
  </si>
  <si>
    <t>M70-60-2-8</t>
  </si>
  <si>
    <t>M70-60-2-9</t>
  </si>
  <si>
    <t>M70-60-2-10</t>
  </si>
  <si>
    <t>M70-60-2-11</t>
  </si>
  <si>
    <t>M70-60-2-12</t>
  </si>
  <si>
    <t>M70-60-2-13</t>
  </si>
  <si>
    <t>M70-60-2-14</t>
  </si>
  <si>
    <t>M70-60-2-15</t>
  </si>
  <si>
    <t>M70-60-2-16</t>
  </si>
  <si>
    <t>M70-60-2-17</t>
  </si>
  <si>
    <t>M70-60-2-18</t>
  </si>
  <si>
    <t>M70-60-2-19</t>
  </si>
  <si>
    <t>M70-60-2-20</t>
  </si>
  <si>
    <t>M70-60-2-21</t>
  </si>
  <si>
    <t>M70-60-2-22</t>
  </si>
  <si>
    <t>M70-60-2-23</t>
  </si>
  <si>
    <t>M70-60-2-24</t>
  </si>
  <si>
    <t>M70-60-2-25</t>
  </si>
  <si>
    <t>M70-60-2-26</t>
  </si>
  <si>
    <t>M70-60-2-27</t>
  </si>
  <si>
    <t>M70-60-2-28</t>
  </si>
  <si>
    <t>M70-60-2-29</t>
  </si>
  <si>
    <t>M70-60-2-30</t>
  </si>
  <si>
    <t>M70-60-3-1</t>
  </si>
  <si>
    <t>M70-60-3-2</t>
  </si>
  <si>
    <t>M70-60-3-3</t>
  </si>
  <si>
    <t>M70-60-3-4</t>
  </si>
  <si>
    <t>M70-60-3-5</t>
  </si>
  <si>
    <t>M70-60-3-6</t>
  </si>
  <si>
    <t>M70-60-3-7</t>
  </si>
  <si>
    <t>M70-60-3-8</t>
  </si>
  <si>
    <t>M70-60-3-9</t>
  </si>
  <si>
    <t>M70-60-3-10</t>
  </si>
  <si>
    <t>M70-60-3-11</t>
  </si>
  <si>
    <t>M70-60-3-12</t>
  </si>
  <si>
    <t>M70-60-3-13</t>
  </si>
  <si>
    <t>M70-60-3-14</t>
  </si>
  <si>
    <t>M70-60-3-15</t>
  </si>
  <si>
    <t>M70-60-3-16</t>
  </si>
  <si>
    <t>M70-60-3-17</t>
  </si>
  <si>
    <t>M70-60-3-18</t>
  </si>
  <si>
    <t>M70-60-3-19</t>
  </si>
  <si>
    <t>M70-60-3-20</t>
  </si>
  <si>
    <t>M70-60-3-21</t>
  </si>
  <si>
    <t>M70-60-3-22</t>
  </si>
  <si>
    <t>M70-60-3-23</t>
  </si>
  <si>
    <t>M70-60-3-24</t>
  </si>
  <si>
    <t>M70-60-3-25</t>
  </si>
  <si>
    <t>M70-60-3-26</t>
  </si>
  <si>
    <t>M70-60-3-27</t>
  </si>
  <si>
    <t>M70-60-3-28</t>
  </si>
  <si>
    <t>M70-60-3-29</t>
  </si>
  <si>
    <t>M70-60-3-30</t>
  </si>
  <si>
    <t xml:space="preserve">foreign </t>
  </si>
  <si>
    <t>total_count</t>
  </si>
  <si>
    <t>unstained_count</t>
  </si>
  <si>
    <t>unstained_calc</t>
  </si>
  <si>
    <t>background</t>
  </si>
  <si>
    <t>Volume_ml</t>
  </si>
  <si>
    <t>Sponge_volume</t>
  </si>
  <si>
    <t>V Hal281</t>
  </si>
  <si>
    <t>VHal054</t>
  </si>
  <si>
    <t>VM30</t>
  </si>
  <si>
    <t>VSA48</t>
  </si>
  <si>
    <t>M70</t>
  </si>
  <si>
    <t>avg_perc_change</t>
  </si>
  <si>
    <t>SD_perc_change</t>
  </si>
  <si>
    <t>avg_filtration_mL_min-1_mL-1</t>
  </si>
  <si>
    <t>SD_filtration_mL_min-1_mL-1</t>
  </si>
  <si>
    <t>t0_vibrio</t>
  </si>
  <si>
    <t>weight_g_freshly_cut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</si>
</sst>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yyyy\-mm\-dd;@"/>
    <numFmt numFmtId="167" formatCode="0.0000"/>
  </numFmts>
  <fonts count="11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2" tint="-0.249977111117893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rgb="FF000000"/>
      <name val="Aptos Narrow"/>
      <scheme val="minor"/>
    </font>
    <font>
      <sz val="14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2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/>
    </xf>
    <xf numFmtId="2" fontId="0" fillId="0" borderId="0" xfId="0" applyNumberFormat="1"/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/>
    <xf numFmtId="0" fontId="0" fillId="0" borderId="0" xfId="0" applyAlignment="1">
      <alignment wrapText="1"/>
    </xf>
    <xf numFmtId="14" fontId="4" fillId="0" borderId="0" xfId="0" applyNumberFormat="1" applyFont="1"/>
    <xf numFmtId="0" fontId="4" fillId="0" borderId="0" xfId="0" applyFont="1"/>
    <xf numFmtId="1" fontId="4" fillId="0" borderId="0" xfId="0" applyNumberFormat="1" applyFont="1"/>
    <xf numFmtId="0" fontId="4" fillId="0" borderId="0" xfId="0" applyFont="1" applyAlignment="1">
      <alignment wrapText="1"/>
    </xf>
    <xf numFmtId="11" fontId="0" fillId="0" borderId="0" xfId="0" applyNumberFormat="1"/>
    <xf numFmtId="11" fontId="2" fillId="0" borderId="0" xfId="0" applyNumberFormat="1" applyFont="1" applyAlignment="1">
      <alignment horizontal="center"/>
    </xf>
    <xf numFmtId="0" fontId="5" fillId="0" borderId="0" xfId="0" applyFont="1"/>
    <xf numFmtId="0" fontId="7" fillId="0" borderId="0" xfId="0" applyFont="1"/>
    <xf numFmtId="2" fontId="5" fillId="0" borderId="0" xfId="0" applyNumberFormat="1" applyFont="1"/>
    <xf numFmtId="2" fontId="6" fillId="0" borderId="0" xfId="0" applyNumberFormat="1" applyFont="1"/>
    <xf numFmtId="2" fontId="8" fillId="0" borderId="0" xfId="0" applyNumberFormat="1" applyFont="1"/>
    <xf numFmtId="0" fontId="6" fillId="0" borderId="0" xfId="0" applyFont="1"/>
    <xf numFmtId="0" fontId="8" fillId="0" borderId="0" xfId="0" applyFont="1"/>
    <xf numFmtId="0" fontId="9" fillId="0" borderId="0" xfId="0" applyFont="1"/>
    <xf numFmtId="166" fontId="3" fillId="0" borderId="0" xfId="0" applyNumberFormat="1" applyFont="1" applyAlignment="1">
      <alignment horizontal="center"/>
    </xf>
    <xf numFmtId="166" fontId="0" fillId="0" borderId="0" xfId="0" applyNumberFormat="1"/>
    <xf numFmtId="11" fontId="5" fillId="0" borderId="0" xfId="0" applyNumberFormat="1" applyFont="1"/>
    <xf numFmtId="167" fontId="0" fillId="0" borderId="0" xfId="0" applyNumberFormat="1"/>
    <xf numFmtId="0" fontId="2" fillId="0" borderId="0" xfId="0" applyFont="1"/>
    <xf numFmtId="0" fontId="9" fillId="2" borderId="0" xfId="0" applyFont="1" applyFill="1"/>
    <xf numFmtId="0" fontId="0" fillId="2" borderId="0" xfId="0" applyFill="1"/>
    <xf numFmtId="164" fontId="0" fillId="2" borderId="0" xfId="0" applyNumberFormat="1" applyFill="1"/>
    <xf numFmtId="11" fontId="0" fillId="2" borderId="0" xfId="0" applyNumberFormat="1" applyFill="1"/>
    <xf numFmtId="11" fontId="2" fillId="0" borderId="0" xfId="0" applyNumberFormat="1" applyFont="1"/>
    <xf numFmtId="2" fontId="2" fillId="0" borderId="0" xfId="0" applyNumberFormat="1" applyFont="1"/>
    <xf numFmtId="1" fontId="5" fillId="0" borderId="0" xfId="0" applyNumberFormat="1" applyFont="1"/>
    <xf numFmtId="1" fontId="2" fillId="0" borderId="0" xfId="0" applyNumberFormat="1" applyFont="1"/>
    <xf numFmtId="2" fontId="0" fillId="2" borderId="0" xfId="0" applyNumberFormat="1" applyFill="1"/>
    <xf numFmtId="167" fontId="0" fillId="2" borderId="0" xfId="0" applyNumberFormat="1" applyFill="1"/>
    <xf numFmtId="1" fontId="0" fillId="2" borderId="0" xfId="0" applyNumberFormat="1" applyFill="1"/>
    <xf numFmtId="2" fontId="5" fillId="0" borderId="0" xfId="1" applyNumberFormat="1" applyFont="1"/>
    <xf numFmtId="2" fontId="2" fillId="0" borderId="0" xfId="1" applyNumberFormat="1" applyFont="1"/>
    <xf numFmtId="2" fontId="0" fillId="0" borderId="0" xfId="1" applyNumberFormat="1" applyFont="1"/>
    <xf numFmtId="2" fontId="0" fillId="2" borderId="0" xfId="1" applyNumberFormat="1" applyFont="1" applyFill="1"/>
    <xf numFmtId="0" fontId="3" fillId="0" borderId="0" xfId="0" applyFont="1"/>
    <xf numFmtId="167" fontId="5" fillId="0" borderId="0" xfId="1" applyNumberFormat="1" applyFont="1"/>
    <xf numFmtId="167" fontId="2" fillId="0" borderId="0" xfId="1" applyNumberFormat="1" applyFont="1"/>
    <xf numFmtId="167" fontId="0" fillId="0" borderId="0" xfId="1" applyNumberFormat="1" applyFont="1"/>
    <xf numFmtId="167" fontId="0" fillId="2" borderId="0" xfId="1" applyNumberFormat="1" applyFont="1" applyFill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kka Zenke" id="{45AE91D3-FA7F-BD41-B75A-0C0CFF93C2F5}" userId="29cf49c15fa9d25f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6-01-08T14:55:02.45" personId="{45AE91D3-FA7F-BD41-B75A-0C0CFF93C2F5}" id="{938F45CA-404D-B545-95B6-A2A4E619A14F}">
    <text>!!!Pay attention for the calculations,
that t0 run by Alexi had a volume of 500µL, while all run by Lukka have a volume of 1000µL!!!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1" dT="2026-01-21T15:17:55.06" personId="{45AE91D3-FA7F-BD41-B75A-0C0CFF93C2F5}" id="{EE5C766B-1E4B-F740-B3C3-E09E7C9387B1}">
    <text>since the time is so short, we can treat the change per time calculation here as a linear equation</text>
  </threadedComment>
</ThreadedComment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3168-AD66-3D42-AD4C-9A107D34E57E}">
  <dimension ref="A1:F8"/>
  <sheetViews>
    <sheetView workbookViewId="0">
      <selection activeCell="D7" sqref="D7"/>
    </sheetView>
  </sheetViews>
  <sheetFormatPr baseColWidth="10" defaultRowHeight="15.75" x14ac:dyDescent="0.25"/>
  <cols>
    <col min="1" max="1" width="12.125" style="28" customWidth="1"/>
    <col min="4" max="4" width="10.875" style="6"/>
    <col min="6" max="6" width="10.875" style="3"/>
  </cols>
  <sheetData>
    <row r="1" spans="1:6" s="7" customFormat="1" x14ac:dyDescent="0.25">
      <c r="A1" s="27" t="s">
        <v>0</v>
      </c>
      <c r="B1" s="7" t="s">
        <v>4</v>
      </c>
      <c r="C1" s="7" t="s">
        <v>5</v>
      </c>
      <c r="D1" s="8" t="s">
        <v>1</v>
      </c>
      <c r="E1" s="7" t="s">
        <v>2</v>
      </c>
      <c r="F1" s="9" t="s">
        <v>3</v>
      </c>
    </row>
    <row r="2" spans="1:6" x14ac:dyDescent="0.25">
      <c r="A2" s="28">
        <v>45881</v>
      </c>
      <c r="B2" t="s">
        <v>6</v>
      </c>
      <c r="C2" t="s">
        <v>357</v>
      </c>
      <c r="D2" s="6">
        <v>17.7</v>
      </c>
      <c r="E2">
        <v>12.1</v>
      </c>
      <c r="F2" s="3">
        <v>8.1859999999999999</v>
      </c>
    </row>
    <row r="3" spans="1:6" x14ac:dyDescent="0.25">
      <c r="A3" s="28">
        <v>45888</v>
      </c>
      <c r="B3" t="s">
        <v>20</v>
      </c>
      <c r="C3" t="s">
        <v>357</v>
      </c>
      <c r="D3" s="6">
        <v>19.600000000000001</v>
      </c>
      <c r="E3">
        <v>14.5</v>
      </c>
      <c r="F3" s="3">
        <v>8.3000000000000007</v>
      </c>
    </row>
    <row r="4" spans="1:6" x14ac:dyDescent="0.25">
      <c r="A4" s="28">
        <v>45890</v>
      </c>
      <c r="B4" t="s">
        <v>21</v>
      </c>
      <c r="C4" t="s">
        <v>357</v>
      </c>
      <c r="D4" s="6">
        <v>17.5</v>
      </c>
      <c r="E4">
        <v>14.3</v>
      </c>
      <c r="F4" s="3">
        <v>8.3000000000000007</v>
      </c>
    </row>
    <row r="5" spans="1:6" x14ac:dyDescent="0.25">
      <c r="A5" s="28">
        <v>45891</v>
      </c>
      <c r="B5" t="s">
        <v>23</v>
      </c>
      <c r="C5" t="s">
        <v>358</v>
      </c>
      <c r="D5" s="6">
        <v>18</v>
      </c>
      <c r="E5">
        <v>14.6</v>
      </c>
      <c r="F5" s="3">
        <v>8.2579999999999991</v>
      </c>
    </row>
    <row r="6" spans="1:6" x14ac:dyDescent="0.25">
      <c r="A6" s="28">
        <v>45896</v>
      </c>
      <c r="B6" t="s">
        <v>24</v>
      </c>
      <c r="C6" t="s">
        <v>357</v>
      </c>
      <c r="D6" s="6">
        <v>18.600000000000001</v>
      </c>
      <c r="E6">
        <v>14.8</v>
      </c>
      <c r="F6" s="3">
        <v>8.24</v>
      </c>
    </row>
    <row r="7" spans="1:6" x14ac:dyDescent="0.25">
      <c r="A7" s="28">
        <v>45898</v>
      </c>
      <c r="B7" t="s">
        <v>25</v>
      </c>
      <c r="C7" t="s">
        <v>358</v>
      </c>
      <c r="D7" s="6">
        <v>18.399999999999999</v>
      </c>
      <c r="E7">
        <v>14.9</v>
      </c>
      <c r="F7" s="3">
        <v>8.2889999999999997</v>
      </c>
    </row>
    <row r="8" spans="1:6" x14ac:dyDescent="0.25">
      <c r="A8" s="28">
        <v>45910</v>
      </c>
      <c r="B8" t="s">
        <v>6</v>
      </c>
      <c r="C8" t="s">
        <v>357</v>
      </c>
      <c r="D8" s="6">
        <v>18.600000000000001</v>
      </c>
      <c r="E8">
        <v>16.7</v>
      </c>
      <c r="F8" s="3">
        <v>7.89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5D390-580E-E741-A91F-E5B82C61AAAC}">
  <dimension ref="A1:M50"/>
  <sheetViews>
    <sheetView zoomScale="90" zoomScaleNormal="90" workbookViewId="0">
      <selection activeCell="G28" sqref="G28"/>
    </sheetView>
  </sheetViews>
  <sheetFormatPr baseColWidth="10" defaultRowHeight="15.75" x14ac:dyDescent="0.25"/>
  <cols>
    <col min="2" max="2" width="15.125" bestFit="1" customWidth="1"/>
    <col min="3" max="5" width="12.5" customWidth="1"/>
    <col min="6" max="6" width="10.875" style="5"/>
    <col min="7" max="7" width="30.875" bestFit="1" customWidth="1"/>
    <col min="8" max="8" width="14" bestFit="1" customWidth="1"/>
    <col min="9" max="9" width="14.5" style="17" bestFit="1" customWidth="1"/>
    <col min="11" max="11" width="13.5" customWidth="1"/>
    <col min="12" max="13" width="13" style="3" bestFit="1" customWidth="1"/>
  </cols>
  <sheetData>
    <row r="1" spans="1:13" s="2" customFormat="1" x14ac:dyDescent="0.25">
      <c r="A1" s="2" t="s">
        <v>0</v>
      </c>
      <c r="B1" s="2" t="s">
        <v>8</v>
      </c>
      <c r="C1" s="2" t="s">
        <v>44</v>
      </c>
      <c r="D1" s="2" t="s">
        <v>41</v>
      </c>
      <c r="E1" s="2" t="s">
        <v>42</v>
      </c>
      <c r="F1" s="4" t="s">
        <v>16</v>
      </c>
      <c r="G1" s="2" t="s">
        <v>17</v>
      </c>
      <c r="H1" s="2" t="s">
        <v>43</v>
      </c>
      <c r="I1" s="18" t="s">
        <v>19</v>
      </c>
      <c r="L1" s="10" t="s">
        <v>133</v>
      </c>
      <c r="M1" s="10" t="s">
        <v>128</v>
      </c>
    </row>
    <row r="2" spans="1:13" x14ac:dyDescent="0.25">
      <c r="A2" s="1">
        <v>45881</v>
      </c>
      <c r="B2" t="s">
        <v>9</v>
      </c>
      <c r="C2" s="6">
        <v>17.7</v>
      </c>
      <c r="D2">
        <v>12.1</v>
      </c>
      <c r="E2" s="3">
        <v>8.1859999999999999</v>
      </c>
      <c r="F2" s="5">
        <f>42.281-37.755</f>
        <v>4.5259999999999962</v>
      </c>
      <c r="G2" t="s">
        <v>18</v>
      </c>
      <c r="H2">
        <v>0</v>
      </c>
      <c r="K2" t="s">
        <v>129</v>
      </c>
      <c r="L2" s="3">
        <f>AVERAGE(C:C)</f>
        <v>18.304761904761904</v>
      </c>
      <c r="M2" s="3">
        <f>STDEV(C:C)</f>
        <v>0.70259185006776859</v>
      </c>
    </row>
    <row r="3" spans="1:13" x14ac:dyDescent="0.25">
      <c r="A3" s="1">
        <v>45881</v>
      </c>
      <c r="B3" t="s">
        <v>10</v>
      </c>
      <c r="C3" s="6">
        <v>17.7</v>
      </c>
      <c r="D3">
        <v>12.1</v>
      </c>
      <c r="E3" s="3">
        <v>8.1859999999999999</v>
      </c>
      <c r="F3" s="5">
        <f>43.511-37.812</f>
        <v>5.6990000000000052</v>
      </c>
      <c r="G3" t="s">
        <v>18</v>
      </c>
      <c r="H3">
        <v>0</v>
      </c>
      <c r="K3" t="s">
        <v>130</v>
      </c>
      <c r="L3" s="3">
        <f>AVERAGE(D:D)</f>
        <v>14.514285714285723</v>
      </c>
      <c r="M3" s="3">
        <f>STDEV(D:D)</f>
        <v>1.3578267119890297</v>
      </c>
    </row>
    <row r="4" spans="1:13" x14ac:dyDescent="0.25">
      <c r="A4" s="1">
        <v>45881</v>
      </c>
      <c r="B4" t="s">
        <v>11</v>
      </c>
      <c r="C4" s="6">
        <v>17.7</v>
      </c>
      <c r="D4">
        <v>12.1</v>
      </c>
      <c r="E4" s="3">
        <v>8.1859999999999999</v>
      </c>
      <c r="F4" s="5">
        <f>50.843-37.598</f>
        <v>13.245000000000005</v>
      </c>
      <c r="G4" t="s">
        <v>18</v>
      </c>
      <c r="H4">
        <v>0</v>
      </c>
      <c r="K4" t="s">
        <v>3</v>
      </c>
      <c r="L4" s="3">
        <f>AVERAGE(E:E)</f>
        <v>8.2026666666666657</v>
      </c>
      <c r="M4" s="3">
        <f>STDEV(E:E)</f>
        <v>0.14703967718499222</v>
      </c>
    </row>
    <row r="5" spans="1:13" x14ac:dyDescent="0.25">
      <c r="A5" s="1">
        <v>45881</v>
      </c>
      <c r="B5" t="s">
        <v>12</v>
      </c>
      <c r="C5" s="6">
        <v>17.7</v>
      </c>
      <c r="D5">
        <v>12.1</v>
      </c>
      <c r="E5" s="3">
        <v>8.1859999999999999</v>
      </c>
      <c r="F5" s="5">
        <f>42.05-37.537</f>
        <v>4.5129999999999981</v>
      </c>
      <c r="G5" t="s">
        <v>18</v>
      </c>
      <c r="H5">
        <v>0</v>
      </c>
      <c r="K5" t="s">
        <v>131</v>
      </c>
      <c r="L5" s="3">
        <f>AVERAGE(F:F)</f>
        <v>5.291619047619049</v>
      </c>
      <c r="M5" s="3">
        <f>STDEV(F:F)</f>
        <v>1.8349273655110958</v>
      </c>
    </row>
    <row r="6" spans="1:13" x14ac:dyDescent="0.25">
      <c r="A6" s="1">
        <v>45881</v>
      </c>
      <c r="B6" t="s">
        <v>13</v>
      </c>
      <c r="C6" s="6">
        <v>17.7</v>
      </c>
      <c r="D6">
        <v>12.1</v>
      </c>
      <c r="E6" s="3">
        <v>8.1859999999999999</v>
      </c>
      <c r="F6" s="5">
        <f>44.23-37.713</f>
        <v>6.5169999999999959</v>
      </c>
      <c r="G6" t="s">
        <v>18</v>
      </c>
      <c r="H6">
        <v>0</v>
      </c>
      <c r="K6" t="s">
        <v>132</v>
      </c>
      <c r="L6" s="17">
        <f>AVERAGE(I:I)</f>
        <v>61194285.714285716</v>
      </c>
      <c r="M6" s="17">
        <f>STDEV(I:I)</f>
        <v>29537612.540993374</v>
      </c>
    </row>
    <row r="7" spans="1:13" x14ac:dyDescent="0.25">
      <c r="A7" s="1">
        <v>45881</v>
      </c>
      <c r="B7" t="s">
        <v>14</v>
      </c>
      <c r="C7" s="6">
        <v>17.7</v>
      </c>
      <c r="D7">
        <v>12.1</v>
      </c>
      <c r="E7" s="3">
        <v>8.1859999999999999</v>
      </c>
      <c r="F7" s="5">
        <f>41.92-37.571</f>
        <v>4.3490000000000038</v>
      </c>
      <c r="G7" t="s">
        <v>18</v>
      </c>
      <c r="H7">
        <v>0</v>
      </c>
    </row>
    <row r="8" spans="1:13" x14ac:dyDescent="0.25">
      <c r="A8" s="1">
        <v>45881</v>
      </c>
      <c r="B8" t="s">
        <v>15</v>
      </c>
      <c r="C8" s="6">
        <v>17.7</v>
      </c>
      <c r="D8">
        <v>12.1</v>
      </c>
      <c r="E8" s="3">
        <v>8.1859999999999999</v>
      </c>
      <c r="F8" s="5">
        <f>40.76-37.701</f>
        <v>3.0589999999999975</v>
      </c>
      <c r="G8" t="s">
        <v>40</v>
      </c>
      <c r="H8" t="s">
        <v>40</v>
      </c>
    </row>
    <row r="9" spans="1:13" x14ac:dyDescent="0.25">
      <c r="A9" s="1">
        <v>45888</v>
      </c>
      <c r="B9" t="s">
        <v>26</v>
      </c>
      <c r="C9" s="6">
        <v>19.600000000000001</v>
      </c>
      <c r="D9">
        <v>14.5</v>
      </c>
      <c r="E9" s="3">
        <v>8.3000000000000007</v>
      </c>
      <c r="F9" s="5">
        <v>6.5270000000000001</v>
      </c>
      <c r="G9" t="s">
        <v>18</v>
      </c>
      <c r="H9">
        <v>0</v>
      </c>
      <c r="I9" s="17">
        <v>36500000</v>
      </c>
    </row>
    <row r="10" spans="1:13" x14ac:dyDescent="0.25">
      <c r="A10" s="1">
        <v>45888</v>
      </c>
      <c r="B10" t="s">
        <v>27</v>
      </c>
      <c r="C10" s="6">
        <v>19.600000000000001</v>
      </c>
      <c r="D10">
        <v>14.5</v>
      </c>
      <c r="E10" s="3">
        <v>8.3000000000000007</v>
      </c>
      <c r="F10" s="5">
        <v>6.36</v>
      </c>
      <c r="G10" t="s">
        <v>18</v>
      </c>
      <c r="H10">
        <v>0</v>
      </c>
      <c r="I10" s="17">
        <v>66700000</v>
      </c>
    </row>
    <row r="11" spans="1:13" x14ac:dyDescent="0.25">
      <c r="A11" s="1">
        <v>45888</v>
      </c>
      <c r="B11" t="s">
        <v>28</v>
      </c>
      <c r="C11" s="6">
        <v>19.600000000000001</v>
      </c>
      <c r="D11">
        <v>14.5</v>
      </c>
      <c r="E11" s="3">
        <v>8.3000000000000007</v>
      </c>
      <c r="F11" s="5">
        <v>3.12</v>
      </c>
      <c r="G11" t="s">
        <v>18</v>
      </c>
      <c r="H11">
        <v>0</v>
      </c>
      <c r="I11" s="17">
        <v>33000000</v>
      </c>
    </row>
    <row r="12" spans="1:13" x14ac:dyDescent="0.25">
      <c r="A12" s="1">
        <v>45888</v>
      </c>
      <c r="B12" t="s">
        <v>29</v>
      </c>
      <c r="C12" s="6">
        <v>19.600000000000001</v>
      </c>
      <c r="D12">
        <v>14.5</v>
      </c>
      <c r="E12" s="3">
        <v>8.3000000000000007</v>
      </c>
      <c r="F12" s="5">
        <v>4.4240000000000004</v>
      </c>
      <c r="G12" t="s">
        <v>18</v>
      </c>
      <c r="H12">
        <v>0</v>
      </c>
      <c r="I12" s="17">
        <v>26100000</v>
      </c>
    </row>
    <row r="13" spans="1:13" x14ac:dyDescent="0.25">
      <c r="A13" s="1">
        <v>45888</v>
      </c>
      <c r="B13" t="s">
        <v>30</v>
      </c>
      <c r="C13" s="6">
        <v>19.600000000000001</v>
      </c>
      <c r="D13">
        <v>14.5</v>
      </c>
      <c r="E13" s="3">
        <v>8.3000000000000007</v>
      </c>
      <c r="F13" s="5">
        <v>6.11</v>
      </c>
      <c r="G13" t="s">
        <v>18</v>
      </c>
      <c r="H13">
        <v>0</v>
      </c>
      <c r="I13" s="17">
        <v>24800000</v>
      </c>
    </row>
    <row r="14" spans="1:13" x14ac:dyDescent="0.25">
      <c r="A14" s="1">
        <v>45888</v>
      </c>
      <c r="B14" t="s">
        <v>31</v>
      </c>
      <c r="C14" s="6">
        <v>19.600000000000001</v>
      </c>
      <c r="D14">
        <v>14.5</v>
      </c>
      <c r="E14" s="3">
        <v>8.3000000000000007</v>
      </c>
      <c r="F14" s="5">
        <v>7.8460000000000001</v>
      </c>
      <c r="G14" t="s">
        <v>18</v>
      </c>
      <c r="H14">
        <v>0</v>
      </c>
      <c r="I14" s="17">
        <v>33200000</v>
      </c>
    </row>
    <row r="15" spans="1:13" x14ac:dyDescent="0.25">
      <c r="A15" s="1">
        <v>45888</v>
      </c>
      <c r="B15" t="s">
        <v>32</v>
      </c>
      <c r="C15" s="6">
        <v>19.600000000000001</v>
      </c>
      <c r="D15">
        <v>14.5</v>
      </c>
      <c r="E15" s="3">
        <v>8.3000000000000007</v>
      </c>
      <c r="F15" s="5">
        <v>2.4830000000000001</v>
      </c>
      <c r="G15" t="s">
        <v>40</v>
      </c>
      <c r="H15" t="s">
        <v>40</v>
      </c>
      <c r="I15" s="17">
        <v>20300000</v>
      </c>
    </row>
    <row r="16" spans="1:13" x14ac:dyDescent="0.25">
      <c r="A16" s="1">
        <v>45890</v>
      </c>
      <c r="B16" t="s">
        <v>33</v>
      </c>
      <c r="C16" s="6">
        <v>17.5</v>
      </c>
      <c r="D16">
        <v>14.3</v>
      </c>
      <c r="E16" s="3">
        <v>8.3000000000000007</v>
      </c>
      <c r="F16" s="5">
        <v>6.65</v>
      </c>
      <c r="G16" t="s">
        <v>18</v>
      </c>
      <c r="H16">
        <v>1</v>
      </c>
      <c r="I16" s="17">
        <v>87500000</v>
      </c>
    </row>
    <row r="17" spans="1:9" x14ac:dyDescent="0.25">
      <c r="A17" s="1">
        <v>45890</v>
      </c>
      <c r="B17" t="s">
        <v>34</v>
      </c>
      <c r="C17" s="6">
        <v>17.5</v>
      </c>
      <c r="D17">
        <v>14.3</v>
      </c>
      <c r="E17" s="3">
        <v>8.3000000000000007</v>
      </c>
      <c r="F17" s="5">
        <v>5.1870000000000003</v>
      </c>
      <c r="G17" t="s">
        <v>18</v>
      </c>
      <c r="H17">
        <v>1</v>
      </c>
      <c r="I17" s="17">
        <v>53300000</v>
      </c>
    </row>
    <row r="18" spans="1:9" x14ac:dyDescent="0.25">
      <c r="A18" s="1">
        <v>45890</v>
      </c>
      <c r="B18" t="s">
        <v>35</v>
      </c>
      <c r="C18" s="6">
        <v>17.5</v>
      </c>
      <c r="D18">
        <v>14.3</v>
      </c>
      <c r="E18" s="3">
        <v>8.3000000000000007</v>
      </c>
      <c r="F18" s="5">
        <v>7.8719999999999999</v>
      </c>
      <c r="G18" t="s">
        <v>18</v>
      </c>
      <c r="H18">
        <v>1</v>
      </c>
      <c r="I18" s="17">
        <v>65100000</v>
      </c>
    </row>
    <row r="19" spans="1:9" x14ac:dyDescent="0.25">
      <c r="A19" s="1">
        <v>45890</v>
      </c>
      <c r="B19" t="s">
        <v>36</v>
      </c>
      <c r="C19" s="6">
        <v>17.5</v>
      </c>
      <c r="D19">
        <v>14.3</v>
      </c>
      <c r="E19" s="3">
        <v>8.3000000000000007</v>
      </c>
      <c r="F19" s="5">
        <v>5.3280000000000003</v>
      </c>
      <c r="G19" t="s">
        <v>18</v>
      </c>
      <c r="H19">
        <v>1</v>
      </c>
      <c r="I19" s="17">
        <v>72800000</v>
      </c>
    </row>
    <row r="20" spans="1:9" x14ac:dyDescent="0.25">
      <c r="A20" s="1">
        <v>45890</v>
      </c>
      <c r="B20" t="s">
        <v>37</v>
      </c>
      <c r="C20" s="6">
        <v>17.5</v>
      </c>
      <c r="D20">
        <v>14.3</v>
      </c>
      <c r="E20" s="3">
        <v>8.3000000000000007</v>
      </c>
      <c r="F20" s="5">
        <v>3.8879999999999999</v>
      </c>
      <c r="G20" t="s">
        <v>18</v>
      </c>
      <c r="H20">
        <v>1</v>
      </c>
      <c r="I20" s="17">
        <v>46400000</v>
      </c>
    </row>
    <row r="21" spans="1:9" x14ac:dyDescent="0.25">
      <c r="A21" s="1">
        <v>45890</v>
      </c>
      <c r="B21" t="s">
        <v>38</v>
      </c>
      <c r="C21" s="6">
        <v>17.5</v>
      </c>
      <c r="D21">
        <v>14.3</v>
      </c>
      <c r="E21" s="3">
        <v>8.3000000000000007</v>
      </c>
      <c r="F21" s="5">
        <v>5.32</v>
      </c>
      <c r="G21" t="s">
        <v>18</v>
      </c>
      <c r="H21">
        <v>1</v>
      </c>
      <c r="I21" s="17">
        <v>49100000</v>
      </c>
    </row>
    <row r="22" spans="1:9" x14ac:dyDescent="0.25">
      <c r="A22" s="1">
        <v>45890</v>
      </c>
      <c r="B22" t="s">
        <v>39</v>
      </c>
      <c r="C22" s="6">
        <v>17.5</v>
      </c>
      <c r="D22">
        <v>14.3</v>
      </c>
      <c r="E22" s="3">
        <v>8.3000000000000007</v>
      </c>
      <c r="F22" s="5">
        <v>2.5720000000000001</v>
      </c>
      <c r="G22" t="s">
        <v>40</v>
      </c>
      <c r="H22" t="s">
        <v>40</v>
      </c>
      <c r="I22" s="17">
        <v>36300000</v>
      </c>
    </row>
    <row r="23" spans="1:9" x14ac:dyDescent="0.25">
      <c r="A23" s="1">
        <v>45891</v>
      </c>
      <c r="B23" t="s">
        <v>45</v>
      </c>
      <c r="C23" s="6">
        <v>18</v>
      </c>
      <c r="D23">
        <v>14.6</v>
      </c>
      <c r="E23" s="3">
        <v>8.2579999999999991</v>
      </c>
      <c r="F23" s="5">
        <v>4.4130000000000003</v>
      </c>
      <c r="G23" t="s">
        <v>18</v>
      </c>
      <c r="H23">
        <v>1</v>
      </c>
      <c r="I23" s="17">
        <v>47700000</v>
      </c>
    </row>
    <row r="24" spans="1:9" x14ac:dyDescent="0.25">
      <c r="A24" s="1">
        <v>45891</v>
      </c>
      <c r="B24" t="s">
        <v>46</v>
      </c>
      <c r="C24" s="6">
        <v>18</v>
      </c>
      <c r="D24">
        <v>14.6</v>
      </c>
      <c r="E24" s="3">
        <v>8.2579999999999991</v>
      </c>
      <c r="F24" s="5">
        <v>5.4</v>
      </c>
      <c r="G24" t="s">
        <v>18</v>
      </c>
      <c r="H24">
        <v>1</v>
      </c>
      <c r="I24" s="17">
        <v>66200000</v>
      </c>
    </row>
    <row r="25" spans="1:9" x14ac:dyDescent="0.25">
      <c r="A25" s="1">
        <v>45891</v>
      </c>
      <c r="B25" t="s">
        <v>47</v>
      </c>
      <c r="C25" s="6">
        <v>18</v>
      </c>
      <c r="D25">
        <v>14.6</v>
      </c>
      <c r="E25" s="3">
        <v>8.2579999999999991</v>
      </c>
      <c r="F25" s="5">
        <v>5.2380000000000004</v>
      </c>
      <c r="G25" t="s">
        <v>18</v>
      </c>
      <c r="H25">
        <v>1</v>
      </c>
      <c r="I25" s="17">
        <v>86000000</v>
      </c>
    </row>
    <row r="26" spans="1:9" x14ac:dyDescent="0.25">
      <c r="A26" s="1">
        <v>45891</v>
      </c>
      <c r="B26" t="s">
        <v>48</v>
      </c>
      <c r="C26" s="6">
        <v>18</v>
      </c>
      <c r="D26">
        <v>14.6</v>
      </c>
      <c r="E26" s="3">
        <v>8.2579999999999991</v>
      </c>
      <c r="F26" s="5">
        <v>4.8049999999999997</v>
      </c>
      <c r="G26" t="s">
        <v>18</v>
      </c>
      <c r="H26">
        <v>1</v>
      </c>
      <c r="I26" s="17">
        <v>50700000</v>
      </c>
    </row>
    <row r="27" spans="1:9" x14ac:dyDescent="0.25">
      <c r="A27" s="1">
        <v>45891</v>
      </c>
      <c r="B27" t="s">
        <v>49</v>
      </c>
      <c r="C27" s="6">
        <v>18</v>
      </c>
      <c r="D27">
        <v>14.6</v>
      </c>
      <c r="E27" s="3">
        <v>8.2579999999999991</v>
      </c>
      <c r="F27" s="5">
        <v>4.5659999999999998</v>
      </c>
      <c r="G27" t="s">
        <v>18</v>
      </c>
      <c r="H27">
        <v>1</v>
      </c>
      <c r="I27" s="17">
        <v>42300000</v>
      </c>
    </row>
    <row r="28" spans="1:9" x14ac:dyDescent="0.25">
      <c r="A28" s="1">
        <v>45891</v>
      </c>
      <c r="B28" t="s">
        <v>50</v>
      </c>
      <c r="C28" s="6">
        <v>18</v>
      </c>
      <c r="D28">
        <v>14.6</v>
      </c>
      <c r="E28" s="3">
        <v>8.2579999999999991</v>
      </c>
      <c r="F28" s="5">
        <v>4.0869999999999997</v>
      </c>
      <c r="G28" t="s">
        <v>18</v>
      </c>
      <c r="H28">
        <v>1</v>
      </c>
      <c r="I28" s="17">
        <v>63700000</v>
      </c>
    </row>
    <row r="29" spans="1:9" x14ac:dyDescent="0.25">
      <c r="A29" s="1">
        <v>45891</v>
      </c>
      <c r="B29" t="s">
        <v>51</v>
      </c>
      <c r="C29" s="6">
        <v>18</v>
      </c>
      <c r="D29">
        <v>14.6</v>
      </c>
      <c r="E29" s="3">
        <v>8.2579999999999991</v>
      </c>
      <c r="F29" s="5">
        <v>5.149</v>
      </c>
      <c r="G29" t="s">
        <v>40</v>
      </c>
      <c r="H29" t="s">
        <v>40</v>
      </c>
      <c r="I29" s="17">
        <v>51700000</v>
      </c>
    </row>
    <row r="30" spans="1:9" x14ac:dyDescent="0.25">
      <c r="A30" s="1">
        <v>45896</v>
      </c>
      <c r="B30" t="s">
        <v>57</v>
      </c>
      <c r="C30" s="6">
        <v>18.600000000000001</v>
      </c>
      <c r="D30">
        <v>14.8</v>
      </c>
      <c r="E30" s="3">
        <v>8.24</v>
      </c>
      <c r="F30" s="5">
        <v>4.7160000000000002</v>
      </c>
      <c r="G30" t="s">
        <v>40</v>
      </c>
      <c r="H30" t="s">
        <v>40</v>
      </c>
      <c r="I30" s="17">
        <v>63000000</v>
      </c>
    </row>
    <row r="31" spans="1:9" x14ac:dyDescent="0.25">
      <c r="A31" s="1">
        <v>45898</v>
      </c>
      <c r="B31" t="s">
        <v>56</v>
      </c>
      <c r="C31" s="6">
        <v>18.399999999999999</v>
      </c>
      <c r="D31">
        <v>14.9</v>
      </c>
      <c r="E31" s="3">
        <v>8.2889999999999997</v>
      </c>
      <c r="F31" s="5">
        <v>4.04</v>
      </c>
      <c r="G31" t="s">
        <v>18</v>
      </c>
      <c r="H31">
        <v>1</v>
      </c>
      <c r="I31" s="17">
        <v>51100000</v>
      </c>
    </row>
    <row r="32" spans="1:9" x14ac:dyDescent="0.25">
      <c r="A32" s="1">
        <v>45898</v>
      </c>
      <c r="B32" t="s">
        <v>58</v>
      </c>
      <c r="C32" s="6">
        <v>18.399999999999999</v>
      </c>
      <c r="D32">
        <v>14.9</v>
      </c>
      <c r="E32" s="3">
        <v>8.2889999999999997</v>
      </c>
      <c r="F32" s="5">
        <v>6.2949999999999999</v>
      </c>
      <c r="G32" t="s">
        <v>18</v>
      </c>
      <c r="H32">
        <v>1</v>
      </c>
      <c r="I32" s="17">
        <v>180000000</v>
      </c>
    </row>
    <row r="33" spans="1:9" x14ac:dyDescent="0.25">
      <c r="A33" s="1">
        <v>45898</v>
      </c>
      <c r="B33" t="s">
        <v>59</v>
      </c>
      <c r="C33" s="6">
        <v>18.399999999999999</v>
      </c>
      <c r="D33">
        <v>14.9</v>
      </c>
      <c r="E33" s="3">
        <v>8.2889999999999997</v>
      </c>
      <c r="F33" s="5">
        <v>4.1449999999999996</v>
      </c>
      <c r="G33" t="s">
        <v>18</v>
      </c>
      <c r="H33">
        <v>1</v>
      </c>
      <c r="I33" s="17">
        <v>74200000</v>
      </c>
    </row>
    <row r="34" spans="1:9" x14ac:dyDescent="0.25">
      <c r="A34" s="1">
        <v>45898</v>
      </c>
      <c r="B34" t="s">
        <v>60</v>
      </c>
      <c r="C34" s="6">
        <v>18.399999999999999</v>
      </c>
      <c r="D34">
        <v>14.9</v>
      </c>
      <c r="E34" s="3">
        <v>8.2889999999999997</v>
      </c>
      <c r="F34" s="5">
        <v>4.6929999999999996</v>
      </c>
      <c r="G34" t="s">
        <v>18</v>
      </c>
      <c r="H34">
        <v>1</v>
      </c>
      <c r="I34" s="17">
        <v>79900000</v>
      </c>
    </row>
    <row r="35" spans="1:9" x14ac:dyDescent="0.25">
      <c r="A35" s="1">
        <v>45898</v>
      </c>
      <c r="B35" t="s">
        <v>61</v>
      </c>
      <c r="C35" s="6">
        <v>18.399999999999999</v>
      </c>
      <c r="D35">
        <v>14.9</v>
      </c>
      <c r="E35" s="3">
        <v>8.2889999999999997</v>
      </c>
      <c r="F35" s="5">
        <v>4.3639999999999999</v>
      </c>
      <c r="G35" t="s">
        <v>18</v>
      </c>
      <c r="H35">
        <v>1</v>
      </c>
      <c r="I35" s="17">
        <v>59800000</v>
      </c>
    </row>
    <row r="36" spans="1:9" x14ac:dyDescent="0.25">
      <c r="A36" s="1">
        <v>45898</v>
      </c>
      <c r="B36" t="s">
        <v>62</v>
      </c>
      <c r="C36" s="6">
        <v>18.399999999999999</v>
      </c>
      <c r="D36">
        <v>14.9</v>
      </c>
      <c r="E36" s="3">
        <v>8.2889999999999997</v>
      </c>
      <c r="F36" s="5">
        <v>4.3959999999999999</v>
      </c>
      <c r="G36" t="s">
        <v>18</v>
      </c>
      <c r="H36">
        <v>1</v>
      </c>
      <c r="I36" s="17">
        <v>53000000</v>
      </c>
    </row>
    <row r="37" spans="1:9" x14ac:dyDescent="0.25">
      <c r="A37" s="1">
        <v>45910</v>
      </c>
      <c r="B37" t="s">
        <v>63</v>
      </c>
      <c r="C37" s="6">
        <v>18.600000000000001</v>
      </c>
      <c r="D37">
        <v>16.7</v>
      </c>
      <c r="E37" s="3">
        <v>7.89</v>
      </c>
      <c r="F37" s="5">
        <v>4.7009999999999996</v>
      </c>
      <c r="G37" t="s">
        <v>18</v>
      </c>
      <c r="H37">
        <v>0</v>
      </c>
      <c r="I37" s="17">
        <v>54100000</v>
      </c>
    </row>
    <row r="38" spans="1:9" x14ac:dyDescent="0.25">
      <c r="A38" s="1">
        <v>45910</v>
      </c>
      <c r="B38" t="s">
        <v>64</v>
      </c>
      <c r="C38" s="6">
        <v>18.600000000000001</v>
      </c>
      <c r="D38">
        <v>16.7</v>
      </c>
      <c r="E38" s="3">
        <v>7.89</v>
      </c>
      <c r="F38" s="5">
        <v>7.5289999999999999</v>
      </c>
      <c r="G38" t="s">
        <v>18</v>
      </c>
      <c r="H38">
        <v>0</v>
      </c>
      <c r="I38" s="17">
        <v>66600000</v>
      </c>
    </row>
    <row r="39" spans="1:9" x14ac:dyDescent="0.25">
      <c r="A39" s="1">
        <v>45910</v>
      </c>
      <c r="B39" t="s">
        <v>65</v>
      </c>
      <c r="C39" s="6">
        <v>18.600000000000001</v>
      </c>
      <c r="D39">
        <v>16.7</v>
      </c>
      <c r="E39" s="3">
        <v>7.89</v>
      </c>
      <c r="F39" s="5">
        <v>5.7389999999999999</v>
      </c>
      <c r="G39" t="s">
        <v>18</v>
      </c>
      <c r="H39">
        <v>0</v>
      </c>
      <c r="I39" s="17">
        <v>119000000</v>
      </c>
    </row>
    <row r="40" spans="1:9" x14ac:dyDescent="0.25">
      <c r="A40" s="1">
        <v>45910</v>
      </c>
      <c r="B40" t="s">
        <v>66</v>
      </c>
      <c r="C40" s="6">
        <v>18.600000000000001</v>
      </c>
      <c r="D40">
        <v>16.7</v>
      </c>
      <c r="E40" s="3">
        <v>7.89</v>
      </c>
      <c r="F40" s="5">
        <v>4.2270000000000003</v>
      </c>
      <c r="G40" t="s">
        <v>18</v>
      </c>
      <c r="H40">
        <v>0</v>
      </c>
      <c r="I40" s="17">
        <v>40300000</v>
      </c>
    </row>
    <row r="41" spans="1:9" x14ac:dyDescent="0.25">
      <c r="A41" s="1">
        <v>45910</v>
      </c>
      <c r="B41" t="s">
        <v>67</v>
      </c>
      <c r="C41" s="6">
        <v>18.600000000000001</v>
      </c>
      <c r="D41">
        <v>16.7</v>
      </c>
      <c r="E41" s="3">
        <v>7.89</v>
      </c>
      <c r="F41" s="5">
        <v>3.8769999999999998</v>
      </c>
      <c r="G41" t="s">
        <v>18</v>
      </c>
      <c r="H41">
        <v>0</v>
      </c>
      <c r="I41" s="17">
        <v>90100000</v>
      </c>
    </row>
    <row r="42" spans="1:9" x14ac:dyDescent="0.25">
      <c r="A42" s="1">
        <v>45910</v>
      </c>
      <c r="B42" t="s">
        <v>68</v>
      </c>
      <c r="C42" s="6">
        <v>18.600000000000001</v>
      </c>
      <c r="D42">
        <v>16.7</v>
      </c>
      <c r="E42" s="3">
        <v>7.89</v>
      </c>
      <c r="F42" s="5">
        <v>7.4489999999999998</v>
      </c>
      <c r="G42" t="s">
        <v>18</v>
      </c>
      <c r="H42">
        <v>0</v>
      </c>
      <c r="I42" s="17">
        <v>79000000</v>
      </c>
    </row>
    <row r="43" spans="1:9" x14ac:dyDescent="0.25">
      <c r="A43" s="1">
        <v>45910</v>
      </c>
      <c r="B43" t="s">
        <v>69</v>
      </c>
      <c r="C43" s="6">
        <v>18.600000000000001</v>
      </c>
      <c r="D43">
        <v>16.7</v>
      </c>
      <c r="E43" s="3">
        <v>7.89</v>
      </c>
      <c r="F43" s="5">
        <v>6.8239999999999998</v>
      </c>
      <c r="G43" t="s">
        <v>40</v>
      </c>
      <c r="H43" t="s">
        <v>40</v>
      </c>
      <c r="I43" s="17">
        <v>72300000</v>
      </c>
    </row>
    <row r="44" spans="1:9" x14ac:dyDescent="0.25">
      <c r="A44" s="1"/>
    </row>
    <row r="45" spans="1:9" x14ac:dyDescent="0.25">
      <c r="A45" s="1"/>
    </row>
    <row r="46" spans="1:9" x14ac:dyDescent="0.25">
      <c r="A46" s="1"/>
    </row>
    <row r="47" spans="1:9" x14ac:dyDescent="0.25">
      <c r="A47" s="1"/>
    </row>
    <row r="48" spans="1:9" x14ac:dyDescent="0.25">
      <c r="A48" s="1"/>
    </row>
    <row r="49" spans="1:1" x14ac:dyDescent="0.25">
      <c r="A49" s="1"/>
    </row>
    <row r="50" spans="1:1" x14ac:dyDescent="0.25">
      <c r="A5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E023-6C9A-834E-909E-3DD1185B40D4}">
  <dimension ref="A1:O54"/>
  <sheetViews>
    <sheetView tabSelected="1" zoomScale="90" zoomScaleNormal="90" workbookViewId="0">
      <selection activeCell="N33" sqref="N33"/>
    </sheetView>
  </sheetViews>
  <sheetFormatPr baseColWidth="10" defaultRowHeight="15.75" x14ac:dyDescent="0.25"/>
  <cols>
    <col min="2" max="2" width="15.125" bestFit="1" customWidth="1"/>
    <col min="3" max="5" width="12.5" customWidth="1"/>
    <col min="6" max="6" width="17.875" bestFit="1" customWidth="1"/>
    <col min="7" max="8" width="10.875" style="5"/>
    <col min="9" max="9" width="30.875" bestFit="1" customWidth="1"/>
    <col min="10" max="10" width="14" bestFit="1" customWidth="1"/>
    <col min="11" max="11" width="14.5" style="17" bestFit="1" customWidth="1"/>
    <col min="13" max="13" width="14.875" bestFit="1" customWidth="1"/>
    <col min="14" max="15" width="13" style="3" bestFit="1" customWidth="1"/>
  </cols>
  <sheetData>
    <row r="1" spans="1:15" s="2" customFormat="1" x14ac:dyDescent="0.25">
      <c r="A1" s="2" t="s">
        <v>0</v>
      </c>
      <c r="B1" s="2" t="s">
        <v>8</v>
      </c>
      <c r="C1" s="2" t="s">
        <v>44</v>
      </c>
      <c r="D1" s="2" t="s">
        <v>41</v>
      </c>
      <c r="E1" s="2" t="s">
        <v>42</v>
      </c>
      <c r="F1" s="2" t="s">
        <v>1436</v>
      </c>
      <c r="G1" s="4" t="s">
        <v>16</v>
      </c>
      <c r="H1" s="4" t="s">
        <v>1424</v>
      </c>
      <c r="I1" s="2" t="s">
        <v>17</v>
      </c>
      <c r="J1" s="2" t="s">
        <v>43</v>
      </c>
      <c r="K1" s="18" t="s">
        <v>19</v>
      </c>
      <c r="N1" s="10" t="s">
        <v>133</v>
      </c>
      <c r="O1" s="10" t="s">
        <v>128</v>
      </c>
    </row>
    <row r="2" spans="1:15" x14ac:dyDescent="0.25">
      <c r="A2" s="1">
        <v>45881</v>
      </c>
      <c r="B2" t="s">
        <v>9</v>
      </c>
      <c r="C2" s="6">
        <v>17.7</v>
      </c>
      <c r="D2">
        <v>12.1</v>
      </c>
      <c r="E2" s="3">
        <v>8.1859999999999999</v>
      </c>
      <c r="F2" s="3">
        <v>5.76</v>
      </c>
      <c r="G2" s="5">
        <f>42.281-37.755</f>
        <v>4.5259999999999962</v>
      </c>
      <c r="H2" s="5">
        <f>(1.2*G2)-0.3</f>
        <v>5.1311999999999953</v>
      </c>
      <c r="I2" t="s">
        <v>18</v>
      </c>
      <c r="J2">
        <v>0</v>
      </c>
      <c r="M2" t="s">
        <v>129</v>
      </c>
      <c r="N2" s="3">
        <f>AVERAGE(C:C)</f>
        <v>18.330434782608698</v>
      </c>
      <c r="O2" s="3">
        <f>STDEV(C:C)</f>
        <v>0.67589268221693066</v>
      </c>
    </row>
    <row r="3" spans="1:15" x14ac:dyDescent="0.25">
      <c r="A3" s="1">
        <v>45881</v>
      </c>
      <c r="B3" t="s">
        <v>10</v>
      </c>
      <c r="C3" s="6">
        <v>17.7</v>
      </c>
      <c r="D3">
        <v>12.1</v>
      </c>
      <c r="E3" s="3">
        <v>8.1859999999999999</v>
      </c>
      <c r="F3" s="3">
        <v>6.54</v>
      </c>
      <c r="G3" s="5">
        <f>43.511-37.812</f>
        <v>5.6990000000000052</v>
      </c>
      <c r="H3" s="5">
        <f t="shared" ref="H3:H47" si="0">(1.2*G3)-0.3</f>
        <v>6.5388000000000064</v>
      </c>
      <c r="I3" t="s">
        <v>18</v>
      </c>
      <c r="J3">
        <v>0</v>
      </c>
      <c r="M3" t="s">
        <v>130</v>
      </c>
      <c r="N3" s="3">
        <f>AVERAGE(D:D)</f>
        <v>14.539130434782621</v>
      </c>
      <c r="O3" s="3">
        <f>STDEV(D:D)</f>
        <v>1.298628038588685</v>
      </c>
    </row>
    <row r="4" spans="1:15" x14ac:dyDescent="0.25">
      <c r="A4" s="1">
        <v>45881</v>
      </c>
      <c r="B4" t="s">
        <v>11</v>
      </c>
      <c r="C4" s="6">
        <v>17.7</v>
      </c>
      <c r="D4">
        <v>12.1</v>
      </c>
      <c r="E4" s="3">
        <v>8.1859999999999999</v>
      </c>
      <c r="F4" s="3">
        <v>6.19</v>
      </c>
      <c r="G4" s="5">
        <f>50.843-37.598</f>
        <v>13.245000000000005</v>
      </c>
      <c r="H4" s="5">
        <f t="shared" si="0"/>
        <v>15.594000000000005</v>
      </c>
      <c r="I4" t="s">
        <v>18</v>
      </c>
      <c r="J4">
        <v>0</v>
      </c>
      <c r="M4" t="s">
        <v>3</v>
      </c>
      <c r="N4" s="3">
        <f>AVERAGE(E:E)</f>
        <v>8.2059130434782599</v>
      </c>
      <c r="O4" s="3">
        <f>STDEV(E:E)</f>
        <v>0.14075492114340801</v>
      </c>
    </row>
    <row r="5" spans="1:15" x14ac:dyDescent="0.25">
      <c r="A5" s="1">
        <v>45881</v>
      </c>
      <c r="B5" t="s">
        <v>12</v>
      </c>
      <c r="C5" s="6">
        <v>17.7</v>
      </c>
      <c r="D5">
        <v>12.1</v>
      </c>
      <c r="E5" s="3">
        <v>8.1859999999999999</v>
      </c>
      <c r="F5" s="3">
        <v>5.3</v>
      </c>
      <c r="G5" s="5">
        <f>42.05-37.537</f>
        <v>4.5129999999999981</v>
      </c>
      <c r="H5" s="5">
        <f t="shared" si="0"/>
        <v>5.1155999999999979</v>
      </c>
      <c r="I5" t="s">
        <v>18</v>
      </c>
      <c r="J5">
        <v>0</v>
      </c>
      <c r="M5" t="s">
        <v>131</v>
      </c>
      <c r="N5" s="3">
        <f>AVERAGE(G:G)</f>
        <v>5.1435217391304366</v>
      </c>
      <c r="O5" s="3">
        <f>STDEV(G:G)</f>
        <v>1.8518609107733297</v>
      </c>
    </row>
    <row r="6" spans="1:15" x14ac:dyDescent="0.25">
      <c r="A6" s="1">
        <v>45881</v>
      </c>
      <c r="B6" t="s">
        <v>13</v>
      </c>
      <c r="C6" s="6">
        <v>17.7</v>
      </c>
      <c r="D6">
        <v>12.1</v>
      </c>
      <c r="E6" s="3">
        <v>8.1859999999999999</v>
      </c>
      <c r="F6" s="3">
        <v>6.11</v>
      </c>
      <c r="G6" s="5">
        <f>44.23-37.713</f>
        <v>6.5169999999999959</v>
      </c>
      <c r="H6" s="5">
        <f t="shared" si="0"/>
        <v>7.5203999999999951</v>
      </c>
      <c r="I6" t="s">
        <v>18</v>
      </c>
      <c r="J6">
        <v>0</v>
      </c>
      <c r="M6" t="s">
        <v>132</v>
      </c>
      <c r="N6" s="17">
        <f>AVERAGE(K:K)</f>
        <v>59671794.871794872</v>
      </c>
      <c r="O6" s="17">
        <f>STDEV(K:K)</f>
        <v>28482708.962659292</v>
      </c>
    </row>
    <row r="7" spans="1:15" x14ac:dyDescent="0.25">
      <c r="A7" s="1">
        <v>45881</v>
      </c>
      <c r="B7" t="s">
        <v>14</v>
      </c>
      <c r="C7" s="6">
        <v>17.7</v>
      </c>
      <c r="D7">
        <v>12.1</v>
      </c>
      <c r="E7" s="3">
        <v>8.1859999999999999</v>
      </c>
      <c r="F7" s="3">
        <v>4.8</v>
      </c>
      <c r="G7" s="5">
        <f>41.92-37.571</f>
        <v>4.3490000000000038</v>
      </c>
      <c r="H7" s="5">
        <f t="shared" si="0"/>
        <v>4.9188000000000045</v>
      </c>
      <c r="I7" t="s">
        <v>18</v>
      </c>
      <c r="J7">
        <v>0</v>
      </c>
      <c r="M7" t="s">
        <v>1425</v>
      </c>
      <c r="N7" s="3">
        <f>AVERAGE(H2:H47)</f>
        <v>5.8722260869565224</v>
      </c>
      <c r="O7" s="3">
        <f>STDEV(H2:H47)</f>
        <v>2.2222330929279992</v>
      </c>
    </row>
    <row r="8" spans="1:15" x14ac:dyDescent="0.25">
      <c r="A8" s="1">
        <v>45881</v>
      </c>
      <c r="B8" t="s">
        <v>15</v>
      </c>
      <c r="C8" s="6">
        <v>17.7</v>
      </c>
      <c r="D8">
        <v>12.1</v>
      </c>
      <c r="E8" s="3">
        <v>8.1859999999999999</v>
      </c>
      <c r="F8" s="3">
        <v>5.96</v>
      </c>
      <c r="G8" s="5">
        <f>40.76-37.701</f>
        <v>3.0589999999999975</v>
      </c>
      <c r="H8" s="5">
        <f t="shared" si="0"/>
        <v>3.3707999999999969</v>
      </c>
      <c r="I8" t="s">
        <v>40</v>
      </c>
      <c r="J8" t="s">
        <v>40</v>
      </c>
    </row>
    <row r="9" spans="1:15" x14ac:dyDescent="0.25">
      <c r="A9" s="1">
        <v>45888</v>
      </c>
      <c r="B9" t="s">
        <v>26</v>
      </c>
      <c r="C9" s="6">
        <v>19.600000000000001</v>
      </c>
      <c r="D9">
        <v>14.5</v>
      </c>
      <c r="E9" s="3">
        <v>8.3000000000000007</v>
      </c>
      <c r="F9" s="3">
        <v>6.53</v>
      </c>
      <c r="G9" s="5">
        <v>6.5270000000000001</v>
      </c>
      <c r="H9" s="5">
        <f t="shared" si="0"/>
        <v>7.5324</v>
      </c>
      <c r="I9" t="s">
        <v>18</v>
      </c>
      <c r="J9">
        <v>0</v>
      </c>
      <c r="K9" s="17">
        <v>36500000</v>
      </c>
    </row>
    <row r="10" spans="1:15" x14ac:dyDescent="0.25">
      <c r="A10" s="1">
        <v>45888</v>
      </c>
      <c r="B10" t="s">
        <v>27</v>
      </c>
      <c r="C10" s="6">
        <v>19.600000000000001</v>
      </c>
      <c r="D10">
        <v>14.5</v>
      </c>
      <c r="E10" s="3">
        <v>8.3000000000000007</v>
      </c>
      <c r="F10" s="3">
        <v>5.75</v>
      </c>
      <c r="G10" s="5">
        <v>6.36</v>
      </c>
      <c r="H10" s="5">
        <f t="shared" si="0"/>
        <v>7.3319999999999999</v>
      </c>
      <c r="I10" t="s">
        <v>18</v>
      </c>
      <c r="J10">
        <v>0</v>
      </c>
      <c r="K10" s="17">
        <v>66700000</v>
      </c>
    </row>
    <row r="11" spans="1:15" x14ac:dyDescent="0.25">
      <c r="A11" s="1">
        <v>45888</v>
      </c>
      <c r="B11" t="s">
        <v>28</v>
      </c>
      <c r="C11" s="6">
        <v>19.600000000000001</v>
      </c>
      <c r="D11">
        <v>14.5</v>
      </c>
      <c r="E11" s="3">
        <v>8.3000000000000007</v>
      </c>
      <c r="F11" s="3">
        <v>4.18</v>
      </c>
      <c r="G11" s="5">
        <v>3.12</v>
      </c>
      <c r="H11" s="5">
        <f t="shared" si="0"/>
        <v>3.444</v>
      </c>
      <c r="I11" t="s">
        <v>18</v>
      </c>
      <c r="J11">
        <v>0</v>
      </c>
      <c r="K11" s="17">
        <v>33000000</v>
      </c>
      <c r="M11" t="s">
        <v>1426</v>
      </c>
      <c r="N11" s="3">
        <f>AVERAGE(G41:G46)</f>
        <v>5.5869999999999997</v>
      </c>
    </row>
    <row r="12" spans="1:15" x14ac:dyDescent="0.25">
      <c r="A12" s="1">
        <v>45888</v>
      </c>
      <c r="B12" t="s">
        <v>29</v>
      </c>
      <c r="C12" s="6">
        <v>19.600000000000001</v>
      </c>
      <c r="D12">
        <v>14.5</v>
      </c>
      <c r="E12" s="3">
        <v>8.3000000000000007</v>
      </c>
      <c r="F12" s="3">
        <v>5.96</v>
      </c>
      <c r="G12" s="5">
        <v>4.4240000000000004</v>
      </c>
      <c r="H12" s="5">
        <f t="shared" si="0"/>
        <v>5.0088000000000008</v>
      </c>
      <c r="I12" t="s">
        <v>18</v>
      </c>
      <c r="J12">
        <v>0</v>
      </c>
      <c r="K12" s="17">
        <v>26100000</v>
      </c>
      <c r="M12" t="s">
        <v>1427</v>
      </c>
      <c r="N12" s="3">
        <f>AVERAGE(H23:H28)</f>
        <v>5.4018000000000006</v>
      </c>
    </row>
    <row r="13" spans="1:15" x14ac:dyDescent="0.25">
      <c r="A13" s="1">
        <v>45888</v>
      </c>
      <c r="B13" t="s">
        <v>30</v>
      </c>
      <c r="C13" s="6">
        <v>19.600000000000001</v>
      </c>
      <c r="D13">
        <v>14.5</v>
      </c>
      <c r="E13" s="3">
        <v>8.3000000000000007</v>
      </c>
      <c r="F13" s="3">
        <v>5.55</v>
      </c>
      <c r="G13" s="5">
        <v>6.11</v>
      </c>
      <c r="H13" s="5">
        <f t="shared" si="0"/>
        <v>7.032</v>
      </c>
      <c r="I13" t="s">
        <v>18</v>
      </c>
      <c r="J13">
        <v>0</v>
      </c>
      <c r="K13" s="17">
        <v>24800000</v>
      </c>
      <c r="M13" t="s">
        <v>1428</v>
      </c>
      <c r="N13" s="3">
        <f>AVERAGE(H9:H14)</f>
        <v>6.5773999999999999</v>
      </c>
    </row>
    <row r="14" spans="1:15" x14ac:dyDescent="0.25">
      <c r="A14" s="1">
        <v>45888</v>
      </c>
      <c r="B14" t="s">
        <v>31</v>
      </c>
      <c r="C14" s="6">
        <v>19.600000000000001</v>
      </c>
      <c r="D14">
        <v>14.5</v>
      </c>
      <c r="E14" s="3">
        <v>8.3000000000000007</v>
      </c>
      <c r="F14" s="3">
        <v>5.55</v>
      </c>
      <c r="G14" s="5">
        <v>7.8460000000000001</v>
      </c>
      <c r="H14" s="5">
        <f t="shared" si="0"/>
        <v>9.1151999999999997</v>
      </c>
      <c r="I14" t="s">
        <v>18</v>
      </c>
      <c r="J14">
        <v>0</v>
      </c>
      <c r="K14" s="17">
        <v>33200000</v>
      </c>
      <c r="M14" t="s">
        <v>1429</v>
      </c>
      <c r="N14" s="3">
        <f>AVERAGE(H16:H21)</f>
        <v>6.5490000000000004</v>
      </c>
    </row>
    <row r="15" spans="1:15" x14ac:dyDescent="0.25">
      <c r="A15" s="1">
        <v>45888</v>
      </c>
      <c r="B15" t="s">
        <v>32</v>
      </c>
      <c r="C15" s="6">
        <v>19.600000000000001</v>
      </c>
      <c r="D15">
        <v>14.5</v>
      </c>
      <c r="E15" s="3">
        <v>8.3000000000000007</v>
      </c>
      <c r="F15" s="3" t="s">
        <v>40</v>
      </c>
      <c r="G15" s="5">
        <v>2.4830000000000001</v>
      </c>
      <c r="H15" s="5">
        <f t="shared" si="0"/>
        <v>2.6796000000000002</v>
      </c>
      <c r="I15" t="s">
        <v>40</v>
      </c>
      <c r="J15" t="s">
        <v>40</v>
      </c>
      <c r="K15" s="17">
        <v>20300000</v>
      </c>
      <c r="M15" t="s">
        <v>1430</v>
      </c>
      <c r="N15" s="3">
        <f>AVERAGE(H35:H40)</f>
        <v>5.2866</v>
      </c>
    </row>
    <row r="16" spans="1:15" x14ac:dyDescent="0.25">
      <c r="A16" s="1">
        <v>45890</v>
      </c>
      <c r="B16" t="s">
        <v>33</v>
      </c>
      <c r="C16" s="6">
        <v>17.5</v>
      </c>
      <c r="D16">
        <v>14.3</v>
      </c>
      <c r="E16" s="3">
        <v>8.3000000000000007</v>
      </c>
      <c r="F16" s="3">
        <v>4.76</v>
      </c>
      <c r="G16" s="5">
        <v>6.65</v>
      </c>
      <c r="H16" s="5">
        <f t="shared" si="0"/>
        <v>7.6800000000000006</v>
      </c>
      <c r="I16" t="s">
        <v>18</v>
      </c>
      <c r="J16">
        <v>1</v>
      </c>
      <c r="K16" s="17">
        <v>87500000</v>
      </c>
    </row>
    <row r="17" spans="1:11" x14ac:dyDescent="0.25">
      <c r="A17" s="1">
        <v>45890</v>
      </c>
      <c r="B17" t="s">
        <v>34</v>
      </c>
      <c r="C17" s="6">
        <v>17.5</v>
      </c>
      <c r="D17">
        <v>14.3</v>
      </c>
      <c r="E17" s="3">
        <v>8.3000000000000007</v>
      </c>
      <c r="F17" s="3">
        <v>5.65</v>
      </c>
      <c r="G17" s="5">
        <v>5.1870000000000003</v>
      </c>
      <c r="H17" s="5">
        <f t="shared" si="0"/>
        <v>5.9244000000000003</v>
      </c>
      <c r="I17" t="s">
        <v>18</v>
      </c>
      <c r="J17">
        <v>1</v>
      </c>
      <c r="K17" s="17">
        <v>53300000</v>
      </c>
    </row>
    <row r="18" spans="1:11" x14ac:dyDescent="0.25">
      <c r="A18" s="1">
        <v>45890</v>
      </c>
      <c r="B18" t="s">
        <v>35</v>
      </c>
      <c r="C18" s="6">
        <v>17.5</v>
      </c>
      <c r="D18">
        <v>14.3</v>
      </c>
      <c r="E18" s="3">
        <v>8.3000000000000007</v>
      </c>
      <c r="F18" s="3">
        <v>6.8</v>
      </c>
      <c r="G18" s="5">
        <v>7.8719999999999999</v>
      </c>
      <c r="H18" s="5">
        <f t="shared" si="0"/>
        <v>9.1463999999999981</v>
      </c>
      <c r="I18" t="s">
        <v>18</v>
      </c>
      <c r="J18">
        <v>1</v>
      </c>
      <c r="K18" s="17">
        <v>65100000</v>
      </c>
    </row>
    <row r="19" spans="1:11" x14ac:dyDescent="0.25">
      <c r="A19" s="1">
        <v>45890</v>
      </c>
      <c r="B19" t="s">
        <v>36</v>
      </c>
      <c r="C19" s="6">
        <v>17.5</v>
      </c>
      <c r="D19">
        <v>14.3</v>
      </c>
      <c r="E19" s="3">
        <v>8.3000000000000007</v>
      </c>
      <c r="F19" s="3">
        <v>6.45</v>
      </c>
      <c r="G19" s="5">
        <v>5.3280000000000003</v>
      </c>
      <c r="H19" s="5">
        <f t="shared" si="0"/>
        <v>6.0936000000000003</v>
      </c>
      <c r="I19" t="s">
        <v>18</v>
      </c>
      <c r="J19">
        <v>1</v>
      </c>
      <c r="K19" s="17">
        <v>72800000</v>
      </c>
    </row>
    <row r="20" spans="1:11" x14ac:dyDescent="0.25">
      <c r="A20" s="1">
        <v>45890</v>
      </c>
      <c r="B20" t="s">
        <v>37</v>
      </c>
      <c r="C20" s="6">
        <v>17.5</v>
      </c>
      <c r="D20">
        <v>14.3</v>
      </c>
      <c r="E20" s="3">
        <v>8.3000000000000007</v>
      </c>
      <c r="F20" s="3">
        <v>5.17</v>
      </c>
      <c r="G20" s="5">
        <v>3.8879999999999999</v>
      </c>
      <c r="H20" s="5">
        <f t="shared" si="0"/>
        <v>4.3655999999999997</v>
      </c>
      <c r="I20" t="s">
        <v>18</v>
      </c>
      <c r="J20">
        <v>1</v>
      </c>
      <c r="K20" s="17">
        <v>46400000</v>
      </c>
    </row>
    <row r="21" spans="1:11" x14ac:dyDescent="0.25">
      <c r="A21" s="1">
        <v>45890</v>
      </c>
      <c r="B21" t="s">
        <v>38</v>
      </c>
      <c r="C21" s="6">
        <v>17.5</v>
      </c>
      <c r="D21">
        <v>14.3</v>
      </c>
      <c r="E21" s="3">
        <v>8.3000000000000007</v>
      </c>
      <c r="F21" s="3">
        <v>5.64</v>
      </c>
      <c r="G21" s="5">
        <v>5.32</v>
      </c>
      <c r="H21" s="5">
        <f t="shared" si="0"/>
        <v>6.0840000000000005</v>
      </c>
      <c r="I21" t="s">
        <v>18</v>
      </c>
      <c r="J21">
        <v>1</v>
      </c>
      <c r="K21" s="17">
        <v>49100000</v>
      </c>
    </row>
    <row r="22" spans="1:11" x14ac:dyDescent="0.25">
      <c r="A22" s="1">
        <v>45890</v>
      </c>
      <c r="B22" t="s">
        <v>39</v>
      </c>
      <c r="C22" s="6">
        <v>17.5</v>
      </c>
      <c r="D22">
        <v>14.3</v>
      </c>
      <c r="E22" s="3">
        <v>8.3000000000000007</v>
      </c>
      <c r="F22" s="3">
        <v>5.81</v>
      </c>
      <c r="G22" s="5">
        <v>2.5720000000000001</v>
      </c>
      <c r="H22" s="5">
        <f t="shared" si="0"/>
        <v>2.7864</v>
      </c>
      <c r="I22" t="s">
        <v>40</v>
      </c>
      <c r="J22" t="s">
        <v>40</v>
      </c>
      <c r="K22" s="17">
        <v>36300000</v>
      </c>
    </row>
    <row r="23" spans="1:11" x14ac:dyDescent="0.25">
      <c r="A23" s="1">
        <v>45891</v>
      </c>
      <c r="B23" t="s">
        <v>45</v>
      </c>
      <c r="C23" s="6">
        <v>18</v>
      </c>
      <c r="D23">
        <v>14.6</v>
      </c>
      <c r="E23" s="3">
        <v>8.2579999999999991</v>
      </c>
      <c r="F23" s="3">
        <v>5.08</v>
      </c>
      <c r="G23" s="5">
        <v>4.4130000000000003</v>
      </c>
      <c r="H23" s="5">
        <f t="shared" si="0"/>
        <v>4.9956000000000005</v>
      </c>
      <c r="I23" t="s">
        <v>18</v>
      </c>
      <c r="J23">
        <v>1</v>
      </c>
      <c r="K23" s="17">
        <v>47700000</v>
      </c>
    </row>
    <row r="24" spans="1:11" x14ac:dyDescent="0.25">
      <c r="A24" s="1">
        <v>45891</v>
      </c>
      <c r="B24" t="s">
        <v>46</v>
      </c>
      <c r="C24" s="6">
        <v>18</v>
      </c>
      <c r="D24">
        <v>14.6</v>
      </c>
      <c r="E24" s="3">
        <v>8.2579999999999991</v>
      </c>
      <c r="F24" s="3">
        <v>5.96</v>
      </c>
      <c r="G24" s="5">
        <v>5.4</v>
      </c>
      <c r="H24" s="5">
        <f t="shared" si="0"/>
        <v>6.1800000000000006</v>
      </c>
      <c r="I24" t="s">
        <v>18</v>
      </c>
      <c r="J24">
        <v>1</v>
      </c>
      <c r="K24" s="17">
        <v>66200000</v>
      </c>
    </row>
    <row r="25" spans="1:11" x14ac:dyDescent="0.25">
      <c r="A25" s="1">
        <v>45891</v>
      </c>
      <c r="B25" t="s">
        <v>47</v>
      </c>
      <c r="C25" s="6">
        <v>18</v>
      </c>
      <c r="D25">
        <v>14.6</v>
      </c>
      <c r="E25" s="3">
        <v>8.2579999999999991</v>
      </c>
      <c r="F25" s="3">
        <v>4.57</v>
      </c>
      <c r="G25" s="5">
        <v>5.2380000000000004</v>
      </c>
      <c r="H25" s="5">
        <f t="shared" si="0"/>
        <v>5.9856000000000007</v>
      </c>
      <c r="I25" t="s">
        <v>18</v>
      </c>
      <c r="J25">
        <v>1</v>
      </c>
      <c r="K25" s="17">
        <v>86000000</v>
      </c>
    </row>
    <row r="26" spans="1:11" x14ac:dyDescent="0.25">
      <c r="A26" s="1">
        <v>45891</v>
      </c>
      <c r="B26" t="s">
        <v>48</v>
      </c>
      <c r="C26" s="6">
        <v>18</v>
      </c>
      <c r="D26">
        <v>14.6</v>
      </c>
      <c r="E26" s="3">
        <v>8.2579999999999991</v>
      </c>
      <c r="F26" s="3">
        <v>5.0999999999999996</v>
      </c>
      <c r="G26" s="5">
        <v>4.8049999999999997</v>
      </c>
      <c r="H26" s="5">
        <f t="shared" si="0"/>
        <v>5.4659999999999993</v>
      </c>
      <c r="I26" t="s">
        <v>18</v>
      </c>
      <c r="J26">
        <v>1</v>
      </c>
      <c r="K26" s="17">
        <v>50700000</v>
      </c>
    </row>
    <row r="27" spans="1:11" x14ac:dyDescent="0.25">
      <c r="A27" s="1">
        <v>45891</v>
      </c>
      <c r="B27" t="s">
        <v>49</v>
      </c>
      <c r="C27" s="6">
        <v>18</v>
      </c>
      <c r="D27">
        <v>14.6</v>
      </c>
      <c r="E27" s="3">
        <v>8.2579999999999991</v>
      </c>
      <c r="F27" s="3">
        <v>5.36</v>
      </c>
      <c r="G27" s="5">
        <v>4.5659999999999998</v>
      </c>
      <c r="H27" s="5">
        <f t="shared" si="0"/>
        <v>5.1791999999999998</v>
      </c>
      <c r="I27" t="s">
        <v>18</v>
      </c>
      <c r="J27">
        <v>1</v>
      </c>
      <c r="K27" s="17">
        <v>42300000</v>
      </c>
    </row>
    <row r="28" spans="1:11" x14ac:dyDescent="0.25">
      <c r="A28" s="1">
        <v>45891</v>
      </c>
      <c r="B28" t="s">
        <v>50</v>
      </c>
      <c r="C28" s="6">
        <v>18</v>
      </c>
      <c r="D28">
        <v>14.6</v>
      </c>
      <c r="E28" s="3">
        <v>8.2579999999999991</v>
      </c>
      <c r="F28" s="3">
        <v>4.97</v>
      </c>
      <c r="G28" s="5">
        <v>4.0869999999999997</v>
      </c>
      <c r="H28" s="5">
        <f t="shared" si="0"/>
        <v>4.6044</v>
      </c>
      <c r="I28" t="s">
        <v>18</v>
      </c>
      <c r="J28">
        <v>1</v>
      </c>
      <c r="K28" s="17">
        <v>63700000</v>
      </c>
    </row>
    <row r="29" spans="1:11" x14ac:dyDescent="0.25">
      <c r="A29" s="1">
        <v>45891</v>
      </c>
      <c r="B29" t="s">
        <v>51</v>
      </c>
      <c r="C29" s="6">
        <v>18</v>
      </c>
      <c r="D29">
        <v>14.6</v>
      </c>
      <c r="E29" s="3">
        <v>8.2579999999999991</v>
      </c>
      <c r="F29" s="3">
        <v>4.59</v>
      </c>
      <c r="G29" s="5">
        <v>5.149</v>
      </c>
      <c r="H29" s="5">
        <f t="shared" si="0"/>
        <v>5.8788</v>
      </c>
      <c r="I29" t="s">
        <v>40</v>
      </c>
      <c r="J29" t="s">
        <v>40</v>
      </c>
      <c r="K29" s="17">
        <v>51700000</v>
      </c>
    </row>
    <row r="30" spans="1:11" x14ac:dyDescent="0.25">
      <c r="A30" s="1">
        <v>45896</v>
      </c>
      <c r="B30" t="s">
        <v>52</v>
      </c>
      <c r="C30" s="6">
        <v>18.600000000000001</v>
      </c>
      <c r="D30">
        <v>14.8</v>
      </c>
      <c r="E30" s="3">
        <v>8.24</v>
      </c>
      <c r="F30" s="3">
        <v>5.82</v>
      </c>
      <c r="G30" s="5">
        <v>4.0359999999999996</v>
      </c>
      <c r="H30" s="5">
        <f t="shared" si="0"/>
        <v>4.5431999999999997</v>
      </c>
      <c r="I30" t="s">
        <v>18</v>
      </c>
      <c r="J30">
        <v>0</v>
      </c>
      <c r="K30" s="17">
        <v>62000000</v>
      </c>
    </row>
    <row r="31" spans="1:11" x14ac:dyDescent="0.25">
      <c r="A31" s="1">
        <v>45896</v>
      </c>
      <c r="B31" t="s">
        <v>53</v>
      </c>
      <c r="C31" s="6">
        <v>18.600000000000001</v>
      </c>
      <c r="D31">
        <v>14.8</v>
      </c>
      <c r="E31" s="3">
        <v>8.24</v>
      </c>
      <c r="F31" s="3">
        <v>4.2</v>
      </c>
      <c r="G31" s="5">
        <v>1.9990000000000001</v>
      </c>
      <c r="H31" s="5">
        <f t="shared" si="0"/>
        <v>2.0988000000000002</v>
      </c>
      <c r="I31" t="s">
        <v>18</v>
      </c>
      <c r="J31">
        <v>0</v>
      </c>
      <c r="K31" s="17">
        <v>38400000</v>
      </c>
    </row>
    <row r="32" spans="1:11" x14ac:dyDescent="0.25">
      <c r="A32" s="1">
        <v>45896</v>
      </c>
      <c r="B32" t="s">
        <v>54</v>
      </c>
      <c r="C32" s="6">
        <v>18.600000000000001</v>
      </c>
      <c r="D32">
        <v>14.8</v>
      </c>
      <c r="E32" s="3">
        <v>8.24</v>
      </c>
      <c r="F32" s="3">
        <v>6.8</v>
      </c>
      <c r="G32" s="5">
        <v>3.0859999999999999</v>
      </c>
      <c r="H32" s="5">
        <f t="shared" si="0"/>
        <v>3.4032</v>
      </c>
      <c r="I32" t="s">
        <v>18</v>
      </c>
      <c r="J32">
        <v>0</v>
      </c>
      <c r="K32" s="17">
        <v>38300000</v>
      </c>
    </row>
    <row r="33" spans="1:11" x14ac:dyDescent="0.25">
      <c r="A33" s="1">
        <v>45896</v>
      </c>
      <c r="B33" t="s">
        <v>55</v>
      </c>
      <c r="C33" s="6">
        <v>18.600000000000001</v>
      </c>
      <c r="D33">
        <v>14.8</v>
      </c>
      <c r="E33" s="3">
        <v>8.24</v>
      </c>
      <c r="F33" s="3">
        <v>6.9</v>
      </c>
      <c r="G33" s="5">
        <v>5.2329999999999997</v>
      </c>
      <c r="H33" s="5">
        <f t="shared" si="0"/>
        <v>5.9795999999999996</v>
      </c>
      <c r="I33" t="s">
        <v>18</v>
      </c>
      <c r="J33">
        <v>0</v>
      </c>
      <c r="K33" s="17">
        <v>46700000</v>
      </c>
    </row>
    <row r="34" spans="1:11" x14ac:dyDescent="0.25">
      <c r="A34" s="1">
        <v>45896</v>
      </c>
      <c r="B34" t="s">
        <v>57</v>
      </c>
      <c r="C34" s="6">
        <v>18.600000000000001</v>
      </c>
      <c r="D34">
        <v>14.8</v>
      </c>
      <c r="E34" s="3">
        <v>8.24</v>
      </c>
      <c r="F34" s="3">
        <v>5.4</v>
      </c>
      <c r="G34" s="5">
        <v>4.7160000000000002</v>
      </c>
      <c r="H34" s="5">
        <f t="shared" si="0"/>
        <v>5.3592000000000004</v>
      </c>
      <c r="I34" t="s">
        <v>40</v>
      </c>
      <c r="J34" t="s">
        <v>40</v>
      </c>
      <c r="K34" s="17">
        <v>63000000</v>
      </c>
    </row>
    <row r="35" spans="1:11" x14ac:dyDescent="0.25">
      <c r="A35" s="1">
        <v>45898</v>
      </c>
      <c r="B35" t="s">
        <v>56</v>
      </c>
      <c r="C35" s="6">
        <v>18.399999999999999</v>
      </c>
      <c r="D35">
        <v>14.9</v>
      </c>
      <c r="E35" s="3">
        <v>8.2889999999999997</v>
      </c>
      <c r="F35" s="3">
        <v>6.13</v>
      </c>
      <c r="G35" s="5">
        <v>4.04</v>
      </c>
      <c r="H35" s="5">
        <f t="shared" si="0"/>
        <v>4.548</v>
      </c>
      <c r="I35" t="s">
        <v>18</v>
      </c>
      <c r="J35">
        <v>1</v>
      </c>
      <c r="K35" s="17">
        <v>51100000</v>
      </c>
    </row>
    <row r="36" spans="1:11" x14ac:dyDescent="0.25">
      <c r="A36" s="1">
        <v>45898</v>
      </c>
      <c r="B36" t="s">
        <v>58</v>
      </c>
      <c r="C36" s="6">
        <v>18.399999999999999</v>
      </c>
      <c r="D36">
        <v>14.9</v>
      </c>
      <c r="E36" s="3">
        <v>8.2889999999999997</v>
      </c>
      <c r="F36" s="3">
        <v>5.95</v>
      </c>
      <c r="G36" s="5">
        <v>6.2949999999999999</v>
      </c>
      <c r="H36" s="5">
        <f t="shared" si="0"/>
        <v>7.2539999999999996</v>
      </c>
      <c r="I36" t="s">
        <v>18</v>
      </c>
      <c r="J36">
        <v>1</v>
      </c>
      <c r="K36" s="17">
        <v>180000000</v>
      </c>
    </row>
    <row r="37" spans="1:11" x14ac:dyDescent="0.25">
      <c r="A37" s="1">
        <v>45898</v>
      </c>
      <c r="B37" t="s">
        <v>59</v>
      </c>
      <c r="C37" s="6">
        <v>18.399999999999999</v>
      </c>
      <c r="D37">
        <v>14.9</v>
      </c>
      <c r="E37" s="3">
        <v>8.2889999999999997</v>
      </c>
      <c r="F37" s="3">
        <v>5</v>
      </c>
      <c r="G37" s="5">
        <v>4.1449999999999996</v>
      </c>
      <c r="H37" s="5">
        <f t="shared" si="0"/>
        <v>4.6739999999999995</v>
      </c>
      <c r="I37" t="s">
        <v>18</v>
      </c>
      <c r="J37">
        <v>1</v>
      </c>
      <c r="K37" s="17">
        <v>74200000</v>
      </c>
    </row>
    <row r="38" spans="1:11" x14ac:dyDescent="0.25">
      <c r="A38" s="1">
        <v>45898</v>
      </c>
      <c r="B38" t="s">
        <v>60</v>
      </c>
      <c r="C38" s="6">
        <v>18.399999999999999</v>
      </c>
      <c r="D38">
        <v>14.9</v>
      </c>
      <c r="E38" s="3">
        <v>8.2889999999999997</v>
      </c>
      <c r="F38" s="3">
        <v>5.53</v>
      </c>
      <c r="G38" s="5">
        <v>4.6929999999999996</v>
      </c>
      <c r="H38" s="5">
        <f t="shared" si="0"/>
        <v>5.3315999999999999</v>
      </c>
      <c r="I38" t="s">
        <v>18</v>
      </c>
      <c r="J38">
        <v>1</v>
      </c>
      <c r="K38" s="17">
        <v>79900000</v>
      </c>
    </row>
    <row r="39" spans="1:11" x14ac:dyDescent="0.25">
      <c r="A39" s="1">
        <v>45898</v>
      </c>
      <c r="B39" t="s">
        <v>61</v>
      </c>
      <c r="C39" s="6">
        <v>18.399999999999999</v>
      </c>
      <c r="D39">
        <v>14.9</v>
      </c>
      <c r="E39" s="3">
        <v>8.2889999999999997</v>
      </c>
      <c r="F39" s="3">
        <v>4.29</v>
      </c>
      <c r="G39" s="5">
        <v>4.3639999999999999</v>
      </c>
      <c r="H39" s="5">
        <f t="shared" si="0"/>
        <v>4.9367999999999999</v>
      </c>
      <c r="I39" t="s">
        <v>18</v>
      </c>
      <c r="J39">
        <v>1</v>
      </c>
      <c r="K39" s="17">
        <v>59800000</v>
      </c>
    </row>
    <row r="40" spans="1:11" x14ac:dyDescent="0.25">
      <c r="A40" s="1">
        <v>45898</v>
      </c>
      <c r="B40" t="s">
        <v>62</v>
      </c>
      <c r="C40" s="6">
        <v>18.399999999999999</v>
      </c>
      <c r="D40">
        <v>14.9</v>
      </c>
      <c r="E40" s="3">
        <v>8.2889999999999997</v>
      </c>
      <c r="F40" s="3">
        <v>6.71</v>
      </c>
      <c r="G40" s="5">
        <v>4.3959999999999999</v>
      </c>
      <c r="H40" s="5">
        <f t="shared" si="0"/>
        <v>4.9752000000000001</v>
      </c>
      <c r="I40" t="s">
        <v>18</v>
      </c>
      <c r="J40">
        <v>1</v>
      </c>
      <c r="K40" s="17">
        <v>53000000</v>
      </c>
    </row>
    <row r="41" spans="1:11" x14ac:dyDescent="0.25">
      <c r="A41" s="1">
        <v>45910</v>
      </c>
      <c r="B41" t="s">
        <v>63</v>
      </c>
      <c r="C41" s="6">
        <v>18.600000000000001</v>
      </c>
      <c r="D41">
        <v>16.7</v>
      </c>
      <c r="E41" s="3">
        <v>7.89</v>
      </c>
      <c r="F41" s="3">
        <v>4.7699999999999996</v>
      </c>
      <c r="G41" s="5">
        <v>4.7009999999999996</v>
      </c>
      <c r="H41" s="5">
        <f t="shared" si="0"/>
        <v>5.3411999999999997</v>
      </c>
      <c r="I41" t="s">
        <v>18</v>
      </c>
      <c r="J41">
        <v>0</v>
      </c>
      <c r="K41" s="17">
        <v>54100000</v>
      </c>
    </row>
    <row r="42" spans="1:11" x14ac:dyDescent="0.25">
      <c r="A42" s="1">
        <v>45910</v>
      </c>
      <c r="B42" t="s">
        <v>64</v>
      </c>
      <c r="C42" s="6">
        <v>18.600000000000001</v>
      </c>
      <c r="D42">
        <v>16.7</v>
      </c>
      <c r="E42" s="3">
        <v>7.89</v>
      </c>
      <c r="F42" s="3">
        <v>5.91</v>
      </c>
      <c r="G42" s="5">
        <v>7.5289999999999999</v>
      </c>
      <c r="H42" s="5">
        <f t="shared" si="0"/>
        <v>8.7347999999999981</v>
      </c>
      <c r="I42" t="s">
        <v>18</v>
      </c>
      <c r="J42">
        <v>0</v>
      </c>
      <c r="K42" s="17">
        <v>66600000</v>
      </c>
    </row>
    <row r="43" spans="1:11" x14ac:dyDescent="0.25">
      <c r="A43" s="1">
        <v>45910</v>
      </c>
      <c r="B43" t="s">
        <v>65</v>
      </c>
      <c r="C43" s="6">
        <v>18.600000000000001</v>
      </c>
      <c r="D43">
        <v>16.7</v>
      </c>
      <c r="E43" s="3">
        <v>7.89</v>
      </c>
      <c r="F43" s="3">
        <v>7.68</v>
      </c>
      <c r="G43" s="5">
        <v>5.7389999999999999</v>
      </c>
      <c r="H43" s="5">
        <f t="shared" si="0"/>
        <v>6.5868000000000002</v>
      </c>
      <c r="I43" t="s">
        <v>18</v>
      </c>
      <c r="J43">
        <v>0</v>
      </c>
      <c r="K43" s="17">
        <v>119000000</v>
      </c>
    </row>
    <row r="44" spans="1:11" x14ac:dyDescent="0.25">
      <c r="A44" s="1">
        <v>45910</v>
      </c>
      <c r="B44" t="s">
        <v>66</v>
      </c>
      <c r="C44" s="6">
        <v>18.600000000000001</v>
      </c>
      <c r="D44">
        <v>16.7</v>
      </c>
      <c r="E44" s="3">
        <v>7.89</v>
      </c>
      <c r="F44" s="3">
        <v>5.78</v>
      </c>
      <c r="G44" s="5">
        <v>4.2270000000000003</v>
      </c>
      <c r="H44" s="5">
        <f t="shared" si="0"/>
        <v>4.7724000000000002</v>
      </c>
      <c r="I44" t="s">
        <v>18</v>
      </c>
      <c r="J44">
        <v>0</v>
      </c>
      <c r="K44" s="17">
        <v>40300000</v>
      </c>
    </row>
    <row r="45" spans="1:11" x14ac:dyDescent="0.25">
      <c r="A45" s="1">
        <v>45910</v>
      </c>
      <c r="B45" t="s">
        <v>67</v>
      </c>
      <c r="C45" s="6">
        <v>18.600000000000001</v>
      </c>
      <c r="D45">
        <v>16.7</v>
      </c>
      <c r="E45" s="3">
        <v>7.89</v>
      </c>
      <c r="F45" s="3">
        <v>6.63</v>
      </c>
      <c r="G45" s="5">
        <v>3.8769999999999998</v>
      </c>
      <c r="H45" s="5">
        <f t="shared" si="0"/>
        <v>4.3523999999999994</v>
      </c>
      <c r="I45" t="s">
        <v>18</v>
      </c>
      <c r="J45">
        <v>0</v>
      </c>
      <c r="K45" s="17">
        <v>90100000</v>
      </c>
    </row>
    <row r="46" spans="1:11" x14ac:dyDescent="0.25">
      <c r="A46" s="1">
        <v>45910</v>
      </c>
      <c r="B46" t="s">
        <v>68</v>
      </c>
      <c r="C46" s="6">
        <v>18.600000000000001</v>
      </c>
      <c r="D46">
        <v>16.7</v>
      </c>
      <c r="E46" s="3">
        <v>7.89</v>
      </c>
      <c r="F46" s="3">
        <v>6.66</v>
      </c>
      <c r="G46" s="5">
        <v>7.4489999999999998</v>
      </c>
      <c r="H46" s="5">
        <f t="shared" si="0"/>
        <v>8.638799999999998</v>
      </c>
      <c r="I46" t="s">
        <v>18</v>
      </c>
      <c r="J46">
        <v>0</v>
      </c>
      <c r="K46" s="17">
        <v>79000000</v>
      </c>
    </row>
    <row r="47" spans="1:11" x14ac:dyDescent="0.25">
      <c r="A47" s="1">
        <v>45910</v>
      </c>
      <c r="B47" t="s">
        <v>69</v>
      </c>
      <c r="C47" s="6">
        <v>18.600000000000001</v>
      </c>
      <c r="D47">
        <v>16.7</v>
      </c>
      <c r="E47" s="3">
        <v>7.89</v>
      </c>
      <c r="F47" s="3">
        <v>6.42</v>
      </c>
      <c r="G47" s="5">
        <v>6.8239999999999998</v>
      </c>
      <c r="H47" s="5">
        <f t="shared" si="0"/>
        <v>7.8887999999999989</v>
      </c>
      <c r="I47" t="s">
        <v>40</v>
      </c>
      <c r="J47" t="s">
        <v>40</v>
      </c>
      <c r="K47" s="17">
        <v>72300000</v>
      </c>
    </row>
    <row r="48" spans="1:1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84FE-B01C-894D-A35F-DF36BB72D32B}">
  <dimension ref="A1:I9"/>
  <sheetViews>
    <sheetView workbookViewId="0">
      <selection activeCell="C14" sqref="C14"/>
    </sheetView>
  </sheetViews>
  <sheetFormatPr baseColWidth="10" defaultRowHeight="15.75" x14ac:dyDescent="0.25"/>
  <cols>
    <col min="1" max="1" width="21.125" style="1" bestFit="1" customWidth="1"/>
    <col min="2" max="2" width="21.125" customWidth="1"/>
    <col min="3" max="3" width="21.125" style="11" customWidth="1"/>
    <col min="4" max="4" width="49.125" customWidth="1"/>
    <col min="5" max="5" width="17.5" bestFit="1" customWidth="1"/>
    <col min="6" max="6" width="16.5" bestFit="1" customWidth="1"/>
    <col min="7" max="7" width="46" customWidth="1"/>
    <col min="8" max="8" width="17.5" bestFit="1" customWidth="1"/>
    <col min="9" max="9" width="16.5" bestFit="1" customWidth="1"/>
  </cols>
  <sheetData>
    <row r="1" spans="1:9" x14ac:dyDescent="0.25">
      <c r="A1" s="1" t="s">
        <v>4</v>
      </c>
      <c r="B1" t="s">
        <v>107</v>
      </c>
      <c r="C1" s="11" t="s">
        <v>74</v>
      </c>
      <c r="D1" t="s">
        <v>72</v>
      </c>
      <c r="E1" t="s">
        <v>70</v>
      </c>
      <c r="F1" t="s">
        <v>71</v>
      </c>
      <c r="G1" t="s">
        <v>73</v>
      </c>
      <c r="H1" t="s">
        <v>70</v>
      </c>
      <c r="I1" t="s">
        <v>71</v>
      </c>
    </row>
    <row r="2" spans="1:9" ht="47.25" x14ac:dyDescent="0.25">
      <c r="A2" s="1" t="s">
        <v>75</v>
      </c>
      <c r="B2" t="s">
        <v>22</v>
      </c>
      <c r="C2" s="11">
        <v>1458</v>
      </c>
      <c r="D2" s="12" t="s">
        <v>76</v>
      </c>
      <c r="E2" s="12" t="s">
        <v>77</v>
      </c>
      <c r="F2" s="12" t="s">
        <v>78</v>
      </c>
      <c r="G2" s="12" t="s">
        <v>80</v>
      </c>
      <c r="H2" s="12" t="s">
        <v>79</v>
      </c>
      <c r="I2" s="12" t="s">
        <v>81</v>
      </c>
    </row>
    <row r="3" spans="1:9" ht="51.95" customHeight="1" x14ac:dyDescent="0.25">
      <c r="A3" s="1" t="s">
        <v>101</v>
      </c>
      <c r="B3" t="s">
        <v>7</v>
      </c>
      <c r="C3" s="11">
        <v>1463</v>
      </c>
      <c r="D3" s="12" t="s">
        <v>102</v>
      </c>
      <c r="E3" s="12" t="s">
        <v>103</v>
      </c>
      <c r="F3" s="12" t="s">
        <v>104</v>
      </c>
      <c r="G3" s="12" t="s">
        <v>105</v>
      </c>
      <c r="H3" s="12" t="s">
        <v>103</v>
      </c>
      <c r="I3" s="12" t="s">
        <v>106</v>
      </c>
    </row>
    <row r="4" spans="1:9" ht="47.25" x14ac:dyDescent="0.25">
      <c r="A4" s="1" t="s">
        <v>21</v>
      </c>
      <c r="B4" t="s">
        <v>7</v>
      </c>
      <c r="C4" s="11">
        <v>1463</v>
      </c>
      <c r="D4" s="12" t="s">
        <v>109</v>
      </c>
      <c r="E4" s="12" t="s">
        <v>108</v>
      </c>
      <c r="F4" s="12" t="s">
        <v>110</v>
      </c>
      <c r="G4" s="12" t="s">
        <v>112</v>
      </c>
      <c r="H4" s="12" t="s">
        <v>111</v>
      </c>
      <c r="I4" s="12" t="s">
        <v>113</v>
      </c>
    </row>
    <row r="5" spans="1:9" s="14" customFormat="1" ht="47.25" x14ac:dyDescent="0.25">
      <c r="A5" s="13" t="s">
        <v>82</v>
      </c>
      <c r="B5" s="14" t="s">
        <v>7</v>
      </c>
      <c r="C5" s="15">
        <v>1505</v>
      </c>
      <c r="D5" s="16" t="s">
        <v>84</v>
      </c>
      <c r="E5" s="16" t="s">
        <v>83</v>
      </c>
      <c r="F5" s="16" t="s">
        <v>85</v>
      </c>
      <c r="G5" s="16" t="s">
        <v>87</v>
      </c>
      <c r="H5" s="16" t="s">
        <v>86</v>
      </c>
      <c r="I5" s="16" t="s">
        <v>88</v>
      </c>
    </row>
    <row r="6" spans="1:9" ht="47.25" x14ac:dyDescent="0.25">
      <c r="A6" s="1" t="s">
        <v>23</v>
      </c>
      <c r="B6" t="s">
        <v>22</v>
      </c>
      <c r="C6" s="11">
        <v>1492</v>
      </c>
      <c r="D6" s="12" t="s">
        <v>90</v>
      </c>
      <c r="E6" s="12" t="s">
        <v>89</v>
      </c>
      <c r="F6" s="12" t="s">
        <v>91</v>
      </c>
      <c r="G6" s="12" t="s">
        <v>93</v>
      </c>
      <c r="H6" s="12" t="s">
        <v>92</v>
      </c>
      <c r="I6" s="12" t="s">
        <v>94</v>
      </c>
    </row>
    <row r="7" spans="1:9" ht="47.25" x14ac:dyDescent="0.25">
      <c r="A7" s="1" t="s">
        <v>6</v>
      </c>
      <c r="B7" t="s">
        <v>7</v>
      </c>
      <c r="C7" s="11">
        <v>1517</v>
      </c>
      <c r="D7" s="12" t="s">
        <v>95</v>
      </c>
      <c r="E7" s="12" t="s">
        <v>96</v>
      </c>
      <c r="F7" s="12" t="s">
        <v>97</v>
      </c>
      <c r="G7" s="12" t="s">
        <v>99</v>
      </c>
      <c r="H7" s="12" t="s">
        <v>98</v>
      </c>
      <c r="I7" s="12" t="s">
        <v>100</v>
      </c>
    </row>
    <row r="8" spans="1:9" s="14" customFormat="1" ht="47.25" x14ac:dyDescent="0.25">
      <c r="A8" s="13" t="s">
        <v>121</v>
      </c>
      <c r="B8" s="14" t="s">
        <v>22</v>
      </c>
      <c r="C8" s="15">
        <v>1505</v>
      </c>
      <c r="D8" s="16" t="s">
        <v>123</v>
      </c>
      <c r="E8" s="16" t="s">
        <v>122</v>
      </c>
      <c r="F8" s="16" t="s">
        <v>124</v>
      </c>
      <c r="G8" s="16" t="s">
        <v>126</v>
      </c>
      <c r="H8" s="16" t="s">
        <v>125</v>
      </c>
      <c r="I8" s="16" t="s">
        <v>127</v>
      </c>
    </row>
    <row r="9" spans="1:9" s="14" customFormat="1" ht="47.25" x14ac:dyDescent="0.25">
      <c r="A9" s="13" t="s">
        <v>114</v>
      </c>
      <c r="B9" s="14" t="s">
        <v>22</v>
      </c>
      <c r="C9" s="15">
        <v>1518</v>
      </c>
      <c r="D9" s="16" t="s">
        <v>116</v>
      </c>
      <c r="E9" s="16" t="s">
        <v>115</v>
      </c>
      <c r="F9" s="16" t="s">
        <v>117</v>
      </c>
      <c r="G9" s="16" t="s">
        <v>119</v>
      </c>
      <c r="H9" s="16" t="s">
        <v>118</v>
      </c>
      <c r="I9" s="16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8B3D-3024-F249-AE0D-D53D43963E2C}">
  <dimension ref="A1:T47"/>
  <sheetViews>
    <sheetView workbookViewId="0">
      <pane ySplit="1" topLeftCell="A2" activePane="bottomLeft" state="frozen"/>
      <selection pane="bottomLeft" activeCell="D1" sqref="D1:D1048576"/>
    </sheetView>
  </sheetViews>
  <sheetFormatPr baseColWidth="10" defaultRowHeight="18.75" x14ac:dyDescent="0.3"/>
  <cols>
    <col min="1" max="1" width="15" style="19" bestFit="1" customWidth="1"/>
    <col min="2" max="2" width="15" style="24" customWidth="1"/>
    <col min="3" max="3" width="16.625" style="24" bestFit="1" customWidth="1"/>
    <col min="4" max="4" width="16.625" style="24" customWidth="1"/>
    <col min="5" max="5" width="15" style="24" customWidth="1"/>
    <col min="6" max="6" width="18.5" style="22" bestFit="1" customWidth="1"/>
    <col min="7" max="7" width="33.5" style="22" bestFit="1" customWidth="1"/>
    <col min="8" max="8" width="12.375" style="22" bestFit="1" customWidth="1"/>
    <col min="9" max="9" width="25.5" style="22" bestFit="1" customWidth="1"/>
    <col min="10" max="10" width="12.375" style="22" bestFit="1" customWidth="1"/>
    <col min="11" max="11" width="25.5" style="22" bestFit="1" customWidth="1"/>
    <col min="12" max="12" width="12.375" style="22" bestFit="1" customWidth="1"/>
    <col min="13" max="13" width="25.5" style="22" bestFit="1" customWidth="1"/>
    <col min="14" max="14" width="12.375" style="22" bestFit="1" customWidth="1"/>
    <col min="15" max="15" width="25.5" style="22" bestFit="1" customWidth="1"/>
    <col min="16" max="16" width="12.375" style="22" bestFit="1" customWidth="1"/>
    <col min="17" max="17" width="21.875" style="22" bestFit="1" customWidth="1"/>
    <col min="18" max="18" width="10.125" style="22" bestFit="1" customWidth="1"/>
    <col min="19" max="19" width="16.5" style="22" bestFit="1" customWidth="1"/>
    <col min="20" max="20" width="26.375" style="22" bestFit="1" customWidth="1"/>
  </cols>
  <sheetData>
    <row r="1" spans="1:20" s="19" customFormat="1" x14ac:dyDescent="0.3">
      <c r="A1" s="19" t="s">
        <v>146</v>
      </c>
      <c r="B1" s="19" t="s">
        <v>165</v>
      </c>
      <c r="C1" s="19" t="s">
        <v>166</v>
      </c>
      <c r="D1" s="19" t="s">
        <v>167</v>
      </c>
      <c r="E1" s="19" t="s">
        <v>168</v>
      </c>
      <c r="F1" s="21" t="s">
        <v>162</v>
      </c>
      <c r="G1" s="21" t="s">
        <v>173</v>
      </c>
      <c r="H1" s="21" t="s">
        <v>134</v>
      </c>
      <c r="I1" s="21" t="s">
        <v>135</v>
      </c>
      <c r="J1" s="21" t="s">
        <v>136</v>
      </c>
      <c r="K1" s="21" t="s">
        <v>137</v>
      </c>
      <c r="L1" s="21" t="s">
        <v>138</v>
      </c>
      <c r="M1" s="21" t="s">
        <v>141</v>
      </c>
      <c r="N1" s="21" t="s">
        <v>140</v>
      </c>
      <c r="O1" s="21" t="s">
        <v>139</v>
      </c>
      <c r="P1" s="21" t="s">
        <v>142</v>
      </c>
      <c r="Q1" s="21" t="s">
        <v>143</v>
      </c>
      <c r="R1" s="21" t="s">
        <v>144</v>
      </c>
      <c r="S1" s="21" t="s">
        <v>163</v>
      </c>
      <c r="T1" s="21" t="s">
        <v>164</v>
      </c>
    </row>
    <row r="2" spans="1:20" x14ac:dyDescent="0.3">
      <c r="A2" s="19" t="s">
        <v>9</v>
      </c>
      <c r="B2" s="24" t="s">
        <v>6</v>
      </c>
      <c r="C2" s="24" t="s">
        <v>169</v>
      </c>
      <c r="D2" s="24" t="s">
        <v>170</v>
      </c>
      <c r="E2" s="24">
        <v>30</v>
      </c>
      <c r="F2" s="22">
        <v>0</v>
      </c>
      <c r="G2" s="22">
        <v>0.49</v>
      </c>
      <c r="H2" s="22">
        <v>37.06</v>
      </c>
      <c r="I2" s="22">
        <v>1.88</v>
      </c>
      <c r="J2" s="22">
        <v>37.119999999999997</v>
      </c>
      <c r="K2" s="22">
        <v>1.75</v>
      </c>
      <c r="L2" s="22">
        <v>36.43</v>
      </c>
      <c r="M2" s="22">
        <v>1.72</v>
      </c>
      <c r="N2" s="22">
        <v>37.31</v>
      </c>
      <c r="O2" s="22">
        <v>1.77</v>
      </c>
      <c r="P2" s="22">
        <v>37.65</v>
      </c>
      <c r="Q2" s="22">
        <v>1.82</v>
      </c>
      <c r="R2" s="22">
        <f>AVERAGE(H2,J2,L2,N2,P2)</f>
        <v>37.114000000000004</v>
      </c>
      <c r="S2" s="22">
        <f>AVERAGE(I2,K2,M2,O2,Q2)</f>
        <v>1.7879999999999998</v>
      </c>
      <c r="T2" s="22">
        <f>(S2/R2*100)-G2</f>
        <v>4.3275890499541942</v>
      </c>
    </row>
    <row r="3" spans="1:20" x14ac:dyDescent="0.3">
      <c r="A3" s="19" t="s">
        <v>10</v>
      </c>
      <c r="B3" s="24" t="s">
        <v>6</v>
      </c>
      <c r="C3" s="24" t="s">
        <v>169</v>
      </c>
      <c r="D3" s="24" t="s">
        <v>170</v>
      </c>
      <c r="E3" s="24">
        <v>30</v>
      </c>
      <c r="F3" s="22">
        <v>0</v>
      </c>
      <c r="G3" s="22">
        <v>0.49</v>
      </c>
      <c r="H3" s="22">
        <v>35.36</v>
      </c>
      <c r="I3" s="22">
        <v>0.59</v>
      </c>
      <c r="J3" s="22">
        <v>35.61</v>
      </c>
      <c r="K3" s="22">
        <v>0.54</v>
      </c>
      <c r="L3" s="22">
        <v>35.51</v>
      </c>
      <c r="M3" s="22">
        <v>0.56000000000000005</v>
      </c>
      <c r="N3" s="22">
        <v>35.659999999999997</v>
      </c>
      <c r="O3" s="22">
        <v>0.54</v>
      </c>
      <c r="P3" s="22">
        <v>35.22</v>
      </c>
      <c r="Q3" s="22">
        <v>0.53</v>
      </c>
      <c r="R3" s="22">
        <f>AVERAGE(H3,J3,L3,N3,P3)</f>
        <v>35.471999999999994</v>
      </c>
      <c r="S3" s="22">
        <f t="shared" ref="S3:S41" si="0">AVERAGE(I3,K3,M3,O3,Q3)</f>
        <v>0.55199999999999994</v>
      </c>
      <c r="T3" s="22">
        <f t="shared" ref="T3:T41" si="1">(S3/R3*100)-G3</f>
        <v>1.0661569688768606</v>
      </c>
    </row>
    <row r="4" spans="1:20" x14ac:dyDescent="0.3">
      <c r="A4" s="19" t="s">
        <v>11</v>
      </c>
      <c r="B4" s="24" t="s">
        <v>6</v>
      </c>
      <c r="C4" s="24" t="s">
        <v>169</v>
      </c>
      <c r="D4" s="24" t="s">
        <v>170</v>
      </c>
      <c r="E4" s="24">
        <v>30</v>
      </c>
      <c r="F4" s="22">
        <v>0</v>
      </c>
      <c r="G4" s="22">
        <v>0.49</v>
      </c>
      <c r="H4" s="22">
        <v>34.97</v>
      </c>
      <c r="I4" s="22">
        <v>1.94</v>
      </c>
      <c r="J4" s="22">
        <v>35.21</v>
      </c>
      <c r="K4" s="22">
        <v>1.83</v>
      </c>
      <c r="L4" s="22">
        <v>35.4</v>
      </c>
      <c r="M4" s="22">
        <v>1.83</v>
      </c>
      <c r="N4" s="22">
        <v>35.409999999999997</v>
      </c>
      <c r="O4" s="22">
        <v>1.83</v>
      </c>
      <c r="P4" s="22">
        <v>35.97</v>
      </c>
      <c r="Q4" s="22">
        <v>1.87</v>
      </c>
      <c r="R4" s="22">
        <f>AVERAGE(H4,J4,L4,N4,P4)</f>
        <v>35.392000000000003</v>
      </c>
      <c r="S4" s="22">
        <f t="shared" si="0"/>
        <v>1.86</v>
      </c>
      <c r="T4" s="22">
        <f t="shared" si="1"/>
        <v>4.7654249547920431</v>
      </c>
    </row>
    <row r="5" spans="1:20" x14ac:dyDescent="0.3">
      <c r="A5" s="19" t="s">
        <v>63</v>
      </c>
      <c r="B5" s="24" t="s">
        <v>6</v>
      </c>
      <c r="C5" s="24" t="s">
        <v>169</v>
      </c>
      <c r="D5" s="24" t="s">
        <v>170</v>
      </c>
      <c r="E5" s="24">
        <v>30</v>
      </c>
      <c r="F5" s="22">
        <v>0</v>
      </c>
      <c r="G5" s="22">
        <v>0.49</v>
      </c>
      <c r="H5" s="22">
        <v>22.5</v>
      </c>
      <c r="I5" s="22">
        <v>1.05</v>
      </c>
      <c r="J5" s="22">
        <v>21.38</v>
      </c>
      <c r="K5" s="22">
        <v>0.81</v>
      </c>
      <c r="L5" s="22">
        <v>21.43</v>
      </c>
      <c r="M5" s="22">
        <v>0.81</v>
      </c>
      <c r="N5" s="22">
        <v>21.55</v>
      </c>
      <c r="O5" s="22">
        <v>0.82</v>
      </c>
      <c r="P5" s="22">
        <v>21.71</v>
      </c>
      <c r="Q5" s="22">
        <v>0.81</v>
      </c>
      <c r="R5" s="22">
        <f>AVERAGE(H5,J5,L5,N5,P5)</f>
        <v>21.713999999999999</v>
      </c>
      <c r="S5" s="22">
        <f t="shared" si="0"/>
        <v>0.86</v>
      </c>
      <c r="T5" s="22">
        <f t="shared" si="1"/>
        <v>3.4705784286635355</v>
      </c>
    </row>
    <row r="6" spans="1:20" x14ac:dyDescent="0.3">
      <c r="A6" s="19" t="s">
        <v>64</v>
      </c>
      <c r="B6" s="24" t="s">
        <v>6</v>
      </c>
      <c r="C6" s="24" t="s">
        <v>169</v>
      </c>
      <c r="D6" s="24" t="s">
        <v>170</v>
      </c>
      <c r="E6" s="24">
        <v>30</v>
      </c>
      <c r="F6" s="22">
        <v>0</v>
      </c>
      <c r="G6" s="22">
        <v>0.49</v>
      </c>
      <c r="H6" s="22">
        <v>39.85</v>
      </c>
      <c r="I6" s="22">
        <v>1.69</v>
      </c>
      <c r="J6" s="22">
        <v>37.630000000000003</v>
      </c>
      <c r="K6" s="22">
        <v>1.5</v>
      </c>
      <c r="L6" s="22">
        <v>37.450000000000003</v>
      </c>
      <c r="M6" s="22">
        <v>1.5</v>
      </c>
      <c r="N6" s="22">
        <v>37.07</v>
      </c>
      <c r="O6" s="22">
        <v>1.47</v>
      </c>
      <c r="P6" s="22">
        <v>37.53</v>
      </c>
      <c r="Q6" s="22">
        <v>1.47</v>
      </c>
      <c r="R6" s="22">
        <f t="shared" ref="R6:R41" si="2">AVERAGE(H6,J6,L6,N6,P6)</f>
        <v>37.905999999999999</v>
      </c>
      <c r="S6" s="22">
        <f t="shared" si="0"/>
        <v>1.5259999999999998</v>
      </c>
      <c r="T6" s="22">
        <f t="shared" si="1"/>
        <v>3.5357479027066949</v>
      </c>
    </row>
    <row r="7" spans="1:20" x14ac:dyDescent="0.3">
      <c r="A7" s="19" t="s">
        <v>65</v>
      </c>
      <c r="B7" s="24" t="s">
        <v>6</v>
      </c>
      <c r="C7" s="24" t="s">
        <v>169</v>
      </c>
      <c r="D7" s="24" t="s">
        <v>170</v>
      </c>
      <c r="E7" s="24">
        <v>30</v>
      </c>
      <c r="F7" s="22">
        <v>0</v>
      </c>
      <c r="G7" s="22">
        <v>0.49</v>
      </c>
      <c r="H7" s="22">
        <v>31.12</v>
      </c>
      <c r="I7" s="22">
        <v>1.1100000000000001</v>
      </c>
      <c r="J7" s="22">
        <v>29.9</v>
      </c>
      <c r="K7" s="22">
        <v>0.98</v>
      </c>
      <c r="L7" s="22">
        <v>29.82</v>
      </c>
      <c r="M7" s="22">
        <v>0.94</v>
      </c>
      <c r="N7" s="22">
        <v>29.48</v>
      </c>
      <c r="O7" s="22">
        <v>0.96</v>
      </c>
      <c r="P7" s="22">
        <v>29.42</v>
      </c>
      <c r="Q7" s="22">
        <v>0.95</v>
      </c>
      <c r="R7" s="22">
        <f t="shared" si="2"/>
        <v>29.948</v>
      </c>
      <c r="S7" s="22">
        <f t="shared" si="0"/>
        <v>0.98799999999999988</v>
      </c>
      <c r="T7" s="22">
        <f t="shared" si="1"/>
        <v>2.8090516895952984</v>
      </c>
    </row>
    <row r="8" spans="1:20" x14ac:dyDescent="0.3">
      <c r="A8" s="19" t="s">
        <v>12</v>
      </c>
      <c r="B8" s="24" t="s">
        <v>6</v>
      </c>
      <c r="C8" s="24" t="s">
        <v>169</v>
      </c>
      <c r="D8" s="24" t="s">
        <v>170</v>
      </c>
      <c r="E8" s="24">
        <v>60</v>
      </c>
      <c r="F8" s="22">
        <v>0</v>
      </c>
      <c r="G8" s="22">
        <v>0.49</v>
      </c>
      <c r="H8" s="22">
        <v>38.65</v>
      </c>
      <c r="I8" s="22">
        <v>2.4500000000000002</v>
      </c>
      <c r="J8" s="22">
        <v>37.61</v>
      </c>
      <c r="K8" s="22">
        <v>2.19</v>
      </c>
      <c r="L8" s="22">
        <v>38.700000000000003</v>
      </c>
      <c r="M8" s="22">
        <v>2.2200000000000002</v>
      </c>
      <c r="N8" s="22">
        <v>38.159999999999997</v>
      </c>
      <c r="O8" s="22">
        <v>2.17</v>
      </c>
      <c r="P8" s="22">
        <v>38.619999999999997</v>
      </c>
      <c r="Q8" s="22">
        <v>2.21</v>
      </c>
      <c r="R8" s="22">
        <f t="shared" si="2"/>
        <v>38.347999999999999</v>
      </c>
      <c r="S8" s="22">
        <f t="shared" si="0"/>
        <v>2.2480000000000002</v>
      </c>
      <c r="T8" s="22">
        <f t="shared" si="1"/>
        <v>5.3721049337644731</v>
      </c>
    </row>
    <row r="9" spans="1:20" x14ac:dyDescent="0.3">
      <c r="A9" s="19" t="s">
        <v>13</v>
      </c>
      <c r="B9" s="24" t="s">
        <v>6</v>
      </c>
      <c r="C9" s="24" t="s">
        <v>169</v>
      </c>
      <c r="D9" s="24" t="s">
        <v>170</v>
      </c>
      <c r="E9" s="24">
        <v>60</v>
      </c>
      <c r="F9" s="22">
        <v>0</v>
      </c>
      <c r="G9" s="22">
        <v>0.49</v>
      </c>
      <c r="H9" s="22">
        <v>30.87</v>
      </c>
      <c r="I9" s="22">
        <v>3.47</v>
      </c>
      <c r="J9" s="22">
        <v>30.07</v>
      </c>
      <c r="K9" s="22">
        <v>3.26</v>
      </c>
      <c r="L9" s="22">
        <v>29.68</v>
      </c>
      <c r="M9" s="22">
        <v>3.14</v>
      </c>
      <c r="N9" s="22">
        <v>29.73</v>
      </c>
      <c r="O9" s="22">
        <v>3.23</v>
      </c>
      <c r="P9" s="22">
        <v>29.76</v>
      </c>
      <c r="Q9" s="22">
        <v>3.18</v>
      </c>
      <c r="R9" s="22">
        <f t="shared" si="2"/>
        <v>30.022000000000002</v>
      </c>
      <c r="S9" s="22">
        <f t="shared" si="0"/>
        <v>3.2560000000000002</v>
      </c>
      <c r="T9" s="22">
        <f t="shared" si="1"/>
        <v>10.355380054626607</v>
      </c>
    </row>
    <row r="10" spans="1:20" x14ac:dyDescent="0.3">
      <c r="A10" s="19" t="s">
        <v>14</v>
      </c>
      <c r="B10" s="24" t="s">
        <v>6</v>
      </c>
      <c r="C10" s="24" t="s">
        <v>169</v>
      </c>
      <c r="D10" s="24" t="s">
        <v>170</v>
      </c>
      <c r="E10" s="24">
        <v>60</v>
      </c>
      <c r="F10" s="22">
        <v>0</v>
      </c>
      <c r="G10" s="22">
        <v>0.49</v>
      </c>
      <c r="H10" s="22">
        <v>36.72</v>
      </c>
      <c r="I10" s="22">
        <v>1.1499999999999999</v>
      </c>
      <c r="J10" s="22">
        <v>35.92</v>
      </c>
      <c r="K10" s="22">
        <v>1.07</v>
      </c>
      <c r="L10" s="22">
        <v>36.03</v>
      </c>
      <c r="M10" s="22">
        <v>1.04</v>
      </c>
      <c r="N10" s="22">
        <v>36.17</v>
      </c>
      <c r="O10" s="22">
        <v>1.04</v>
      </c>
      <c r="P10" s="22">
        <v>36.26</v>
      </c>
      <c r="Q10" s="22">
        <v>1.04</v>
      </c>
      <c r="R10" s="22">
        <f t="shared" si="2"/>
        <v>36.22</v>
      </c>
      <c r="S10" s="22">
        <f t="shared" si="0"/>
        <v>1.0680000000000001</v>
      </c>
      <c r="T10" s="22">
        <f t="shared" si="1"/>
        <v>2.4586471562672561</v>
      </c>
    </row>
    <row r="11" spans="1:20" x14ac:dyDescent="0.3">
      <c r="A11" s="19" t="s">
        <v>66</v>
      </c>
      <c r="B11" s="24" t="s">
        <v>6</v>
      </c>
      <c r="C11" s="24" t="s">
        <v>169</v>
      </c>
      <c r="D11" s="24" t="s">
        <v>170</v>
      </c>
      <c r="E11" s="24">
        <v>60</v>
      </c>
      <c r="F11" s="22">
        <v>0</v>
      </c>
      <c r="G11" s="22">
        <v>0.49</v>
      </c>
      <c r="H11" s="22">
        <v>22.84</v>
      </c>
      <c r="I11" s="22">
        <v>1.78</v>
      </c>
      <c r="J11" s="22">
        <v>21.7</v>
      </c>
      <c r="K11" s="22">
        <v>1.47</v>
      </c>
      <c r="L11" s="22">
        <v>21.19</v>
      </c>
      <c r="M11" s="22">
        <v>1.47</v>
      </c>
      <c r="N11" s="22">
        <v>21.47</v>
      </c>
      <c r="O11" s="22">
        <v>1.46</v>
      </c>
      <c r="P11" s="22">
        <v>21.68</v>
      </c>
      <c r="Q11" s="22">
        <v>1.49</v>
      </c>
      <c r="R11" s="22">
        <f t="shared" si="2"/>
        <v>21.776</v>
      </c>
      <c r="S11" s="22">
        <f t="shared" si="0"/>
        <v>1.534</v>
      </c>
      <c r="T11" s="22">
        <f t="shared" si="1"/>
        <v>6.5544526083761934</v>
      </c>
    </row>
    <row r="12" spans="1:20" x14ac:dyDescent="0.3">
      <c r="A12" s="19" t="s">
        <v>67</v>
      </c>
      <c r="B12" s="24" t="s">
        <v>6</v>
      </c>
      <c r="C12" s="24" t="s">
        <v>169</v>
      </c>
      <c r="D12" s="24" t="s">
        <v>170</v>
      </c>
      <c r="E12" s="24">
        <v>60</v>
      </c>
      <c r="F12" s="22">
        <v>0</v>
      </c>
      <c r="G12" s="22">
        <v>0.49</v>
      </c>
      <c r="H12" s="22">
        <v>31.18</v>
      </c>
      <c r="I12" s="22">
        <v>2.62</v>
      </c>
      <c r="J12" s="22">
        <v>29.15</v>
      </c>
      <c r="K12" s="22">
        <v>2.3199999999999998</v>
      </c>
      <c r="L12" s="22">
        <v>29.36</v>
      </c>
      <c r="M12" s="22">
        <v>2.38</v>
      </c>
      <c r="N12" s="22">
        <v>29.22</v>
      </c>
      <c r="O12" s="22">
        <v>2.38</v>
      </c>
      <c r="P12" s="22">
        <v>29.45</v>
      </c>
      <c r="Q12" s="22">
        <v>2.39</v>
      </c>
      <c r="R12" s="22">
        <f t="shared" si="2"/>
        <v>29.671999999999997</v>
      </c>
      <c r="S12" s="22">
        <f t="shared" si="0"/>
        <v>2.4180000000000001</v>
      </c>
      <c r="T12" s="22">
        <f t="shared" si="1"/>
        <v>7.6590967915880306</v>
      </c>
    </row>
    <row r="13" spans="1:20" x14ac:dyDescent="0.3">
      <c r="A13" s="19" t="s">
        <v>68</v>
      </c>
      <c r="B13" s="24" t="s">
        <v>6</v>
      </c>
      <c r="C13" s="24" t="s">
        <v>169</v>
      </c>
      <c r="D13" s="24" t="s">
        <v>170</v>
      </c>
      <c r="E13" s="24">
        <v>60</v>
      </c>
      <c r="F13" s="22">
        <v>0</v>
      </c>
      <c r="G13" s="22">
        <v>0.49</v>
      </c>
      <c r="H13" s="22">
        <v>36.979999999999997</v>
      </c>
      <c r="I13" s="22">
        <v>2.4900000000000002</v>
      </c>
      <c r="J13" s="22">
        <v>34.07</v>
      </c>
      <c r="K13" s="22">
        <v>2.11</v>
      </c>
      <c r="L13" s="22">
        <v>34.86</v>
      </c>
      <c r="M13" s="22">
        <v>2.09</v>
      </c>
      <c r="N13" s="22">
        <v>34.85</v>
      </c>
      <c r="O13" s="22">
        <v>2.0699999999999998</v>
      </c>
      <c r="P13" s="22">
        <v>34.14</v>
      </c>
      <c r="Q13" s="22">
        <v>2.06</v>
      </c>
      <c r="R13" s="22">
        <f t="shared" si="2"/>
        <v>34.979999999999997</v>
      </c>
      <c r="S13" s="22">
        <f t="shared" si="0"/>
        <v>2.1640000000000001</v>
      </c>
      <c r="T13" s="22">
        <f t="shared" si="1"/>
        <v>5.6963922241280738</v>
      </c>
    </row>
    <row r="14" spans="1:20" x14ac:dyDescent="0.3">
      <c r="A14" s="19" t="s">
        <v>45</v>
      </c>
      <c r="B14" s="24" t="s">
        <v>23</v>
      </c>
      <c r="C14" s="24" t="s">
        <v>171</v>
      </c>
      <c r="D14" s="24" t="s">
        <v>170</v>
      </c>
      <c r="E14" s="24">
        <v>30</v>
      </c>
      <c r="F14" s="22">
        <v>0</v>
      </c>
      <c r="G14" s="22">
        <v>0.49</v>
      </c>
      <c r="H14" s="22">
        <v>25.21</v>
      </c>
      <c r="I14" s="22">
        <v>2.06</v>
      </c>
      <c r="J14" s="22">
        <v>24.31</v>
      </c>
      <c r="K14" s="22">
        <v>1.88</v>
      </c>
      <c r="L14" s="22">
        <v>24.29</v>
      </c>
      <c r="M14" s="22">
        <v>1.88</v>
      </c>
      <c r="N14" s="22">
        <v>24.27</v>
      </c>
      <c r="O14" s="22">
        <v>1.88</v>
      </c>
      <c r="P14" s="22">
        <v>24.24</v>
      </c>
      <c r="Q14" s="22">
        <v>1.86</v>
      </c>
      <c r="R14" s="22">
        <f t="shared" si="2"/>
        <v>24.463999999999999</v>
      </c>
      <c r="S14" s="22">
        <f t="shared" si="0"/>
        <v>1.9120000000000001</v>
      </c>
      <c r="T14" s="22">
        <f t="shared" si="1"/>
        <v>7.3255657292347953</v>
      </c>
    </row>
    <row r="15" spans="1:20" x14ac:dyDescent="0.3">
      <c r="A15" s="19" t="s">
        <v>46</v>
      </c>
      <c r="B15" s="24" t="s">
        <v>23</v>
      </c>
      <c r="C15" s="24" t="s">
        <v>171</v>
      </c>
      <c r="D15" s="24" t="s">
        <v>170</v>
      </c>
      <c r="E15" s="24">
        <v>30</v>
      </c>
      <c r="F15" s="22">
        <v>0</v>
      </c>
      <c r="G15" s="22">
        <v>0.49</v>
      </c>
      <c r="H15" s="22">
        <v>5.64</v>
      </c>
      <c r="I15" s="22">
        <v>0.32</v>
      </c>
      <c r="J15" s="22">
        <v>5.69</v>
      </c>
      <c r="K15" s="22">
        <v>0.32</v>
      </c>
      <c r="L15" s="22" t="s">
        <v>40</v>
      </c>
      <c r="M15" s="22" t="s">
        <v>40</v>
      </c>
      <c r="N15" s="22" t="s">
        <v>40</v>
      </c>
      <c r="O15" s="22" t="s">
        <v>40</v>
      </c>
      <c r="P15" s="22" t="s">
        <v>40</v>
      </c>
      <c r="Q15" s="22" t="s">
        <v>40</v>
      </c>
      <c r="R15" s="22">
        <f t="shared" si="2"/>
        <v>5.665</v>
      </c>
      <c r="S15" s="22">
        <f t="shared" si="0"/>
        <v>0.32</v>
      </c>
      <c r="T15" s="22">
        <f t="shared" si="1"/>
        <v>5.1587202118270081</v>
      </c>
    </row>
    <row r="16" spans="1:20" x14ac:dyDescent="0.3">
      <c r="A16" s="19" t="s">
        <v>47</v>
      </c>
      <c r="B16" s="24" t="s">
        <v>23</v>
      </c>
      <c r="C16" s="24" t="s">
        <v>171</v>
      </c>
      <c r="D16" s="24" t="s">
        <v>170</v>
      </c>
      <c r="E16" s="24">
        <v>30</v>
      </c>
      <c r="F16" s="22">
        <v>0</v>
      </c>
      <c r="G16" s="22">
        <v>0.49</v>
      </c>
      <c r="H16" s="22">
        <v>25.62</v>
      </c>
      <c r="I16" s="22">
        <v>0.89</v>
      </c>
      <c r="J16" s="22">
        <v>26.87</v>
      </c>
      <c r="K16" s="22">
        <v>0.9</v>
      </c>
      <c r="L16" s="22">
        <v>25.48</v>
      </c>
      <c r="M16" s="22">
        <v>0.86</v>
      </c>
      <c r="N16" s="22">
        <v>25.14</v>
      </c>
      <c r="O16" s="22">
        <v>0.84</v>
      </c>
      <c r="P16" s="22">
        <v>25.06</v>
      </c>
      <c r="Q16" s="22">
        <v>0.84</v>
      </c>
      <c r="R16" s="22">
        <f t="shared" si="2"/>
        <v>25.633999999999997</v>
      </c>
      <c r="S16" s="22">
        <f t="shared" si="0"/>
        <v>0.86599999999999999</v>
      </c>
      <c r="T16" s="22">
        <f t="shared" si="1"/>
        <v>2.8883256612311774</v>
      </c>
    </row>
    <row r="17" spans="1:20" x14ac:dyDescent="0.3">
      <c r="A17" s="19" t="s">
        <v>48</v>
      </c>
      <c r="B17" s="24" t="s">
        <v>23</v>
      </c>
      <c r="C17" s="24" t="s">
        <v>171</v>
      </c>
      <c r="D17" s="24" t="s">
        <v>170</v>
      </c>
      <c r="E17" s="24">
        <v>60</v>
      </c>
      <c r="F17" s="22">
        <v>0</v>
      </c>
      <c r="G17" s="22">
        <v>0.49</v>
      </c>
      <c r="H17" s="22">
        <v>20.07</v>
      </c>
      <c r="I17" s="22">
        <v>2.27</v>
      </c>
      <c r="J17" s="22">
        <v>20.37</v>
      </c>
      <c r="K17" s="22">
        <v>2.2400000000000002</v>
      </c>
      <c r="L17" s="22">
        <v>20.45</v>
      </c>
      <c r="M17" s="22">
        <v>2.2999999999999998</v>
      </c>
      <c r="N17" s="22">
        <v>20.27</v>
      </c>
      <c r="O17" s="22">
        <v>2.21</v>
      </c>
      <c r="P17" s="22">
        <v>20.61</v>
      </c>
      <c r="Q17" s="22">
        <v>2.2799999999999998</v>
      </c>
      <c r="R17" s="22">
        <f t="shared" si="2"/>
        <v>20.353999999999999</v>
      </c>
      <c r="S17" s="22">
        <f t="shared" si="0"/>
        <v>2.2599999999999998</v>
      </c>
      <c r="T17" s="22">
        <f t="shared" si="1"/>
        <v>10.613468605679472</v>
      </c>
    </row>
    <row r="18" spans="1:20" x14ac:dyDescent="0.3">
      <c r="A18" s="19" t="s">
        <v>49</v>
      </c>
      <c r="B18" s="24" t="s">
        <v>23</v>
      </c>
      <c r="C18" s="24" t="s">
        <v>171</v>
      </c>
      <c r="D18" s="24" t="s">
        <v>170</v>
      </c>
      <c r="E18" s="24">
        <v>60</v>
      </c>
      <c r="F18" s="22">
        <v>0</v>
      </c>
      <c r="G18" s="22">
        <v>0.49</v>
      </c>
      <c r="H18" s="22">
        <v>11.55</v>
      </c>
      <c r="I18" s="22">
        <v>2.04</v>
      </c>
      <c r="J18" s="22">
        <v>10.86</v>
      </c>
      <c r="K18" s="22">
        <v>1.94</v>
      </c>
      <c r="L18" s="22" t="s">
        <v>40</v>
      </c>
      <c r="M18" s="22" t="s">
        <v>40</v>
      </c>
      <c r="N18" s="22" t="s">
        <v>40</v>
      </c>
      <c r="O18" s="22" t="s">
        <v>40</v>
      </c>
      <c r="P18" s="22" t="s">
        <v>40</v>
      </c>
      <c r="Q18" s="22" t="s">
        <v>40</v>
      </c>
      <c r="R18" s="22">
        <f t="shared" si="2"/>
        <v>11.205</v>
      </c>
      <c r="S18" s="22">
        <f t="shared" si="0"/>
        <v>1.99</v>
      </c>
      <c r="T18" s="22">
        <f t="shared" si="1"/>
        <v>17.269928603302098</v>
      </c>
    </row>
    <row r="19" spans="1:20" x14ac:dyDescent="0.3">
      <c r="A19" s="19" t="s">
        <v>50</v>
      </c>
      <c r="B19" s="24" t="s">
        <v>23</v>
      </c>
      <c r="C19" s="24" t="s">
        <v>171</v>
      </c>
      <c r="D19" s="24" t="s">
        <v>170</v>
      </c>
      <c r="E19" s="24">
        <v>60</v>
      </c>
      <c r="F19" s="22">
        <v>0</v>
      </c>
      <c r="G19" s="22">
        <v>0.49</v>
      </c>
      <c r="H19" s="22">
        <v>16.63</v>
      </c>
      <c r="I19" s="22">
        <v>1.1399999999999999</v>
      </c>
      <c r="J19" s="22">
        <v>16.53</v>
      </c>
      <c r="K19" s="22">
        <v>1.1000000000000001</v>
      </c>
      <c r="L19" s="22">
        <v>16.66</v>
      </c>
      <c r="M19" s="22">
        <v>1.1000000000000001</v>
      </c>
      <c r="N19" s="22">
        <v>16.809999999999999</v>
      </c>
      <c r="O19" s="22">
        <v>1.1200000000000001</v>
      </c>
      <c r="P19" s="22">
        <v>16.59</v>
      </c>
      <c r="Q19" s="22">
        <v>1.0900000000000001</v>
      </c>
      <c r="R19" s="22">
        <f t="shared" si="2"/>
        <v>16.643999999999998</v>
      </c>
      <c r="S19" s="22">
        <f t="shared" si="0"/>
        <v>1.1100000000000001</v>
      </c>
      <c r="T19" s="22">
        <f t="shared" si="1"/>
        <v>6.1790699351117526</v>
      </c>
    </row>
    <row r="20" spans="1:20" x14ac:dyDescent="0.3">
      <c r="A20" s="19" t="s">
        <v>145</v>
      </c>
      <c r="B20" s="24" t="s">
        <v>101</v>
      </c>
      <c r="C20" s="24" t="s">
        <v>169</v>
      </c>
      <c r="D20" s="24" t="s">
        <v>172</v>
      </c>
      <c r="E20" s="24">
        <v>30</v>
      </c>
      <c r="F20" s="22">
        <v>0</v>
      </c>
      <c r="G20" s="22">
        <v>0.49</v>
      </c>
      <c r="H20" s="22">
        <v>35.520000000000003</v>
      </c>
      <c r="I20" s="22">
        <v>1.48</v>
      </c>
      <c r="J20" s="22">
        <v>35.700000000000003</v>
      </c>
      <c r="K20" s="22">
        <v>1.5</v>
      </c>
      <c r="L20" s="22">
        <v>35.69</v>
      </c>
      <c r="M20" s="22">
        <v>1.48</v>
      </c>
      <c r="N20" s="22">
        <v>34.549999999999997</v>
      </c>
      <c r="O20" s="22">
        <v>1.46</v>
      </c>
      <c r="P20" s="22">
        <v>27.64</v>
      </c>
      <c r="Q20" s="22">
        <v>1.19</v>
      </c>
      <c r="R20" s="22">
        <f t="shared" si="2"/>
        <v>33.819999999999993</v>
      </c>
      <c r="S20" s="22">
        <f t="shared" si="0"/>
        <v>1.4219999999999999</v>
      </c>
      <c r="T20" s="22">
        <f t="shared" si="1"/>
        <v>3.7146126552335899</v>
      </c>
    </row>
    <row r="21" spans="1:20" x14ac:dyDescent="0.3">
      <c r="A21" s="19" t="s">
        <v>147</v>
      </c>
      <c r="B21" s="24" t="s">
        <v>101</v>
      </c>
      <c r="C21" s="24" t="s">
        <v>169</v>
      </c>
      <c r="D21" s="24" t="s">
        <v>172</v>
      </c>
      <c r="E21" s="24">
        <v>30</v>
      </c>
      <c r="F21" s="22">
        <v>0</v>
      </c>
      <c r="G21" s="22">
        <v>0.49</v>
      </c>
      <c r="H21" s="22">
        <v>16.07</v>
      </c>
      <c r="I21" s="22">
        <v>0.76</v>
      </c>
      <c r="J21" s="22">
        <v>15.61</v>
      </c>
      <c r="K21" s="22">
        <v>0.71</v>
      </c>
      <c r="L21" s="22">
        <v>15.03</v>
      </c>
      <c r="M21" s="22">
        <v>0.67</v>
      </c>
      <c r="N21" s="22">
        <v>14.92</v>
      </c>
      <c r="O21" s="22">
        <v>0.67</v>
      </c>
      <c r="P21" s="22">
        <v>14.6</v>
      </c>
      <c r="Q21" s="22">
        <v>0.66</v>
      </c>
      <c r="R21" s="22">
        <f t="shared" si="2"/>
        <v>15.246</v>
      </c>
      <c r="S21" s="22">
        <f t="shared" si="0"/>
        <v>0.69400000000000006</v>
      </c>
      <c r="T21" s="22">
        <f t="shared" si="1"/>
        <v>4.062013642922734</v>
      </c>
    </row>
    <row r="22" spans="1:20" x14ac:dyDescent="0.3">
      <c r="A22" s="19" t="s">
        <v>148</v>
      </c>
      <c r="B22" s="24" t="s">
        <v>101</v>
      </c>
      <c r="C22" s="24" t="s">
        <v>169</v>
      </c>
      <c r="D22" s="24" t="s">
        <v>172</v>
      </c>
      <c r="E22" s="24">
        <v>30</v>
      </c>
      <c r="F22" s="22">
        <v>0</v>
      </c>
      <c r="G22" s="22">
        <v>0.49</v>
      </c>
      <c r="H22" s="22">
        <v>14.29</v>
      </c>
      <c r="I22" s="22">
        <v>0.65</v>
      </c>
      <c r="J22" s="22">
        <v>14.16</v>
      </c>
      <c r="K22" s="22">
        <v>0.63</v>
      </c>
      <c r="L22" s="22">
        <v>14.07</v>
      </c>
      <c r="M22" s="22">
        <v>0.63</v>
      </c>
      <c r="N22" s="22">
        <v>14.21</v>
      </c>
      <c r="O22" s="22">
        <v>0.64</v>
      </c>
      <c r="P22" s="22">
        <v>14.11</v>
      </c>
      <c r="Q22" s="22">
        <v>0.63</v>
      </c>
      <c r="R22" s="22">
        <f t="shared" si="2"/>
        <v>14.168000000000001</v>
      </c>
      <c r="S22" s="22">
        <f t="shared" si="0"/>
        <v>0.63600000000000001</v>
      </c>
      <c r="T22" s="22">
        <f t="shared" si="1"/>
        <v>3.9989892715979671</v>
      </c>
    </row>
    <row r="23" spans="1:20" x14ac:dyDescent="0.3">
      <c r="A23" s="19" t="s">
        <v>149</v>
      </c>
      <c r="B23" s="24" t="s">
        <v>101</v>
      </c>
      <c r="C23" s="24" t="s">
        <v>169</v>
      </c>
      <c r="D23" s="24" t="s">
        <v>172</v>
      </c>
      <c r="E23" s="24">
        <v>60</v>
      </c>
      <c r="F23" s="22">
        <v>0</v>
      </c>
      <c r="G23" s="22">
        <v>0.49</v>
      </c>
      <c r="H23" s="22">
        <v>18.899999999999999</v>
      </c>
      <c r="I23" s="22">
        <v>1.3</v>
      </c>
      <c r="J23" s="22">
        <v>18.55</v>
      </c>
      <c r="K23" s="22">
        <v>1.27</v>
      </c>
      <c r="L23" s="22">
        <v>18.55</v>
      </c>
      <c r="M23" s="22">
        <v>1.26</v>
      </c>
      <c r="N23" s="22">
        <v>18.62</v>
      </c>
      <c r="O23" s="22">
        <v>1.26</v>
      </c>
      <c r="P23" s="22">
        <v>18.809999999999999</v>
      </c>
      <c r="Q23" s="22">
        <v>1.32</v>
      </c>
      <c r="R23" s="22">
        <f t="shared" si="2"/>
        <v>18.686</v>
      </c>
      <c r="S23" s="22">
        <f t="shared" si="0"/>
        <v>1.282</v>
      </c>
      <c r="T23" s="22">
        <f t="shared" si="1"/>
        <v>6.370751364658032</v>
      </c>
    </row>
    <row r="24" spans="1:20" x14ac:dyDescent="0.3">
      <c r="A24" s="19" t="s">
        <v>150</v>
      </c>
      <c r="B24" s="24" t="s">
        <v>101</v>
      </c>
      <c r="C24" s="24" t="s">
        <v>169</v>
      </c>
      <c r="D24" s="24" t="s">
        <v>172</v>
      </c>
      <c r="E24" s="24">
        <v>60</v>
      </c>
      <c r="F24" s="22">
        <v>0</v>
      </c>
      <c r="G24" s="22">
        <v>0.49</v>
      </c>
      <c r="H24" s="22">
        <v>6.61</v>
      </c>
      <c r="I24" s="22">
        <v>0.49</v>
      </c>
      <c r="J24" s="22">
        <v>6.49</v>
      </c>
      <c r="K24" s="22">
        <v>0.47</v>
      </c>
      <c r="L24" s="22">
        <v>6.45</v>
      </c>
      <c r="M24" s="22">
        <v>0.46</v>
      </c>
      <c r="N24" s="22">
        <v>6.32</v>
      </c>
      <c r="O24" s="22">
        <v>0.44</v>
      </c>
      <c r="P24" s="22">
        <v>6.44</v>
      </c>
      <c r="Q24" s="22">
        <v>0.45</v>
      </c>
      <c r="R24" s="22">
        <f t="shared" si="2"/>
        <v>6.4620000000000006</v>
      </c>
      <c r="S24" s="22">
        <f t="shared" si="0"/>
        <v>0.46200000000000002</v>
      </c>
      <c r="T24" s="22">
        <f t="shared" si="1"/>
        <v>6.6594893221912717</v>
      </c>
    </row>
    <row r="25" spans="1:20" x14ac:dyDescent="0.3">
      <c r="A25" s="19" t="s">
        <v>151</v>
      </c>
      <c r="B25" s="24" t="s">
        <v>101</v>
      </c>
      <c r="C25" s="24" t="s">
        <v>169</v>
      </c>
      <c r="D25" s="24" t="s">
        <v>172</v>
      </c>
      <c r="E25" s="24">
        <v>60</v>
      </c>
      <c r="F25" s="22">
        <v>0</v>
      </c>
      <c r="G25" s="22">
        <v>0.49</v>
      </c>
      <c r="H25" s="22">
        <v>26.77</v>
      </c>
      <c r="I25" s="22">
        <v>1.62</v>
      </c>
      <c r="J25" s="22">
        <v>25.89</v>
      </c>
      <c r="K25" s="22">
        <v>1.46</v>
      </c>
      <c r="L25" s="22">
        <v>25.55</v>
      </c>
      <c r="M25" s="22">
        <v>1.43</v>
      </c>
      <c r="N25" s="22">
        <v>25.51</v>
      </c>
      <c r="O25" s="22">
        <v>1.42</v>
      </c>
      <c r="P25" s="22">
        <v>25.64</v>
      </c>
      <c r="Q25" s="22">
        <v>1.44</v>
      </c>
      <c r="R25" s="22">
        <f t="shared" si="2"/>
        <v>25.872000000000003</v>
      </c>
      <c r="S25" s="22">
        <f t="shared" si="0"/>
        <v>1.4739999999999998</v>
      </c>
      <c r="T25" s="22">
        <f t="shared" si="1"/>
        <v>5.2072789115646234</v>
      </c>
    </row>
    <row r="26" spans="1:20" x14ac:dyDescent="0.3">
      <c r="A26" s="20" t="s">
        <v>152</v>
      </c>
      <c r="B26" s="25" t="s">
        <v>75</v>
      </c>
      <c r="C26" s="24" t="s">
        <v>171</v>
      </c>
      <c r="D26" s="24" t="s">
        <v>172</v>
      </c>
      <c r="E26" s="24">
        <v>30</v>
      </c>
      <c r="F26" s="23">
        <v>0</v>
      </c>
      <c r="G26" s="22">
        <v>0.49</v>
      </c>
      <c r="H26" s="22">
        <v>22.8</v>
      </c>
      <c r="I26" s="22">
        <v>0.33</v>
      </c>
      <c r="J26" s="22">
        <v>22.72</v>
      </c>
      <c r="K26" s="22">
        <v>0.33</v>
      </c>
      <c r="L26" s="22">
        <v>22.94</v>
      </c>
      <c r="M26" s="22">
        <v>0.35</v>
      </c>
      <c r="N26" s="22">
        <v>22.87</v>
      </c>
      <c r="O26" s="22">
        <v>0.34</v>
      </c>
      <c r="P26" s="22">
        <v>22.8</v>
      </c>
      <c r="Q26" s="22">
        <v>0.33</v>
      </c>
      <c r="R26" s="22">
        <f t="shared" si="2"/>
        <v>22.826000000000001</v>
      </c>
      <c r="S26" s="22">
        <f t="shared" si="0"/>
        <v>0.33600000000000002</v>
      </c>
      <c r="T26" s="22">
        <f t="shared" si="1"/>
        <v>0.98200560764041001</v>
      </c>
    </row>
    <row r="27" spans="1:20" x14ac:dyDescent="0.3">
      <c r="A27" s="20" t="s">
        <v>153</v>
      </c>
      <c r="B27" s="25" t="s">
        <v>75</v>
      </c>
      <c r="C27" s="24" t="s">
        <v>171</v>
      </c>
      <c r="D27" s="24" t="s">
        <v>172</v>
      </c>
      <c r="E27" s="24">
        <v>30</v>
      </c>
      <c r="F27" s="23">
        <v>0</v>
      </c>
      <c r="G27" s="22">
        <v>0.49</v>
      </c>
      <c r="H27" s="22">
        <v>12.8</v>
      </c>
      <c r="I27" s="22">
        <v>0.35</v>
      </c>
      <c r="J27" s="22">
        <v>12.76</v>
      </c>
      <c r="K27" s="22">
        <v>0.32</v>
      </c>
      <c r="L27" s="22">
        <v>12.43</v>
      </c>
      <c r="M27" s="22">
        <v>0.31</v>
      </c>
      <c r="N27" s="22">
        <v>12.58</v>
      </c>
      <c r="O27" s="22">
        <v>0.32</v>
      </c>
      <c r="P27" s="22">
        <v>12.56</v>
      </c>
      <c r="Q27" s="22">
        <v>0.33</v>
      </c>
      <c r="R27" s="22">
        <f t="shared" si="2"/>
        <v>12.626000000000001</v>
      </c>
      <c r="S27" s="22">
        <f t="shared" si="0"/>
        <v>0.32600000000000001</v>
      </c>
      <c r="T27" s="22">
        <f t="shared" si="1"/>
        <v>2.0919737050530651</v>
      </c>
    </row>
    <row r="28" spans="1:20" x14ac:dyDescent="0.3">
      <c r="A28" s="20" t="s">
        <v>154</v>
      </c>
      <c r="B28" s="25" t="s">
        <v>75</v>
      </c>
      <c r="C28" s="24" t="s">
        <v>171</v>
      </c>
      <c r="D28" s="24" t="s">
        <v>172</v>
      </c>
      <c r="E28" s="24">
        <v>30</v>
      </c>
      <c r="F28" s="23">
        <v>0</v>
      </c>
      <c r="G28" s="22">
        <v>0.49</v>
      </c>
      <c r="H28" s="22">
        <v>13.53</v>
      </c>
      <c r="I28" s="22">
        <v>0.15</v>
      </c>
      <c r="J28" s="22">
        <v>12.78</v>
      </c>
      <c r="K28" s="22">
        <v>0.12</v>
      </c>
      <c r="L28" s="22">
        <v>12.95</v>
      </c>
      <c r="M28" s="22">
        <v>0.12</v>
      </c>
      <c r="N28" s="22">
        <v>13.01</v>
      </c>
      <c r="O28" s="22">
        <v>0.13</v>
      </c>
      <c r="P28" s="22">
        <v>12.99</v>
      </c>
      <c r="Q28" s="22">
        <v>0.13</v>
      </c>
      <c r="R28" s="22">
        <f t="shared" si="2"/>
        <v>13.051999999999998</v>
      </c>
      <c r="S28" s="22">
        <f t="shared" si="0"/>
        <v>0.13</v>
      </c>
      <c r="T28" s="22">
        <f>(S28/R28*100)-G28</f>
        <v>0.5060159362549802</v>
      </c>
    </row>
    <row r="29" spans="1:20" x14ac:dyDescent="0.3">
      <c r="A29" s="20" t="s">
        <v>155</v>
      </c>
      <c r="B29" s="25" t="s">
        <v>75</v>
      </c>
      <c r="C29" s="24" t="s">
        <v>171</v>
      </c>
      <c r="D29" s="24" t="s">
        <v>172</v>
      </c>
      <c r="E29" s="24">
        <v>60</v>
      </c>
      <c r="F29" s="23">
        <v>0</v>
      </c>
      <c r="G29" s="22">
        <v>0.49</v>
      </c>
      <c r="H29" s="22">
        <v>25.37</v>
      </c>
      <c r="I29" s="22">
        <v>0.44</v>
      </c>
      <c r="J29" s="22">
        <v>24.43</v>
      </c>
      <c r="K29" s="22">
        <v>0.4</v>
      </c>
      <c r="L29" s="22">
        <v>24.5</v>
      </c>
      <c r="M29" s="22">
        <v>0.39</v>
      </c>
      <c r="N29" s="22">
        <v>24.74</v>
      </c>
      <c r="O29" s="22">
        <v>0.4</v>
      </c>
      <c r="P29" s="22">
        <v>24.65</v>
      </c>
      <c r="Q29" s="22">
        <v>0.38</v>
      </c>
      <c r="R29" s="22">
        <f t="shared" si="2"/>
        <v>24.738</v>
      </c>
      <c r="S29" s="22">
        <f t="shared" si="0"/>
        <v>0.40199999999999997</v>
      </c>
      <c r="T29" s="22">
        <f t="shared" si="1"/>
        <v>1.1350303177298082</v>
      </c>
    </row>
    <row r="30" spans="1:20" x14ac:dyDescent="0.3">
      <c r="A30" s="20" t="s">
        <v>156</v>
      </c>
      <c r="B30" s="25" t="s">
        <v>75</v>
      </c>
      <c r="C30" s="24" t="s">
        <v>171</v>
      </c>
      <c r="D30" s="24" t="s">
        <v>172</v>
      </c>
      <c r="E30" s="24">
        <v>60</v>
      </c>
      <c r="F30" s="23">
        <v>0</v>
      </c>
      <c r="G30" s="22">
        <v>0.49</v>
      </c>
      <c r="H30" s="22">
        <v>5.01</v>
      </c>
      <c r="I30" s="22">
        <v>0.14000000000000001</v>
      </c>
      <c r="J30" s="22">
        <v>4.8099999999999996</v>
      </c>
      <c r="K30" s="22">
        <v>0.12</v>
      </c>
      <c r="L30" s="22">
        <v>4.95</v>
      </c>
      <c r="M30" s="22">
        <v>0.13</v>
      </c>
      <c r="N30" s="22">
        <v>4.88</v>
      </c>
      <c r="O30" s="22">
        <v>0.13</v>
      </c>
      <c r="P30" s="22">
        <v>4.66</v>
      </c>
      <c r="Q30" s="22">
        <v>0.13</v>
      </c>
      <c r="R30" s="22">
        <f t="shared" si="2"/>
        <v>4.8620000000000001</v>
      </c>
      <c r="S30" s="22">
        <f t="shared" si="0"/>
        <v>0.13</v>
      </c>
      <c r="T30" s="22">
        <f t="shared" si="1"/>
        <v>2.1837967914438501</v>
      </c>
    </row>
    <row r="31" spans="1:20" x14ac:dyDescent="0.3">
      <c r="A31" s="20" t="s">
        <v>157</v>
      </c>
      <c r="B31" s="25" t="s">
        <v>75</v>
      </c>
      <c r="C31" s="24" t="s">
        <v>171</v>
      </c>
      <c r="D31" s="24" t="s">
        <v>172</v>
      </c>
      <c r="E31" s="24">
        <v>60</v>
      </c>
      <c r="F31" s="23">
        <v>0</v>
      </c>
      <c r="G31" s="22">
        <v>0.49</v>
      </c>
      <c r="H31" s="22">
        <v>4.42</v>
      </c>
      <c r="I31" s="22">
        <v>0.06</v>
      </c>
      <c r="J31" s="22">
        <v>4.38</v>
      </c>
      <c r="K31" s="22">
        <v>0.06</v>
      </c>
      <c r="L31" s="22">
        <v>4.41</v>
      </c>
      <c r="M31" s="22">
        <v>0.05</v>
      </c>
      <c r="N31" s="22" t="s">
        <v>40</v>
      </c>
      <c r="O31" s="22" t="s">
        <v>40</v>
      </c>
      <c r="P31" s="22" t="s">
        <v>40</v>
      </c>
      <c r="Q31" s="22" t="s">
        <v>40</v>
      </c>
      <c r="R31" s="22">
        <f t="shared" si="2"/>
        <v>4.4033333333333333</v>
      </c>
      <c r="S31" s="22">
        <f t="shared" si="0"/>
        <v>5.6666666666666664E-2</v>
      </c>
      <c r="T31" s="22">
        <f t="shared" si="1"/>
        <v>0.79690386071158215</v>
      </c>
    </row>
    <row r="32" spans="1:20" x14ac:dyDescent="0.3">
      <c r="A32" s="20" t="s">
        <v>33</v>
      </c>
      <c r="B32" s="25" t="s">
        <v>21</v>
      </c>
      <c r="C32" s="24" t="s">
        <v>169</v>
      </c>
      <c r="D32" s="24" t="s">
        <v>172</v>
      </c>
      <c r="E32" s="24">
        <v>30</v>
      </c>
      <c r="F32" s="23">
        <v>0</v>
      </c>
      <c r="G32" s="22">
        <v>0.49</v>
      </c>
      <c r="H32" s="22">
        <v>37.82</v>
      </c>
      <c r="I32" s="22">
        <v>2.1</v>
      </c>
      <c r="J32" s="22">
        <v>36.67</v>
      </c>
      <c r="K32" s="22">
        <v>1.93</v>
      </c>
      <c r="L32" s="22">
        <v>37.24</v>
      </c>
      <c r="M32" s="22">
        <v>1.98</v>
      </c>
      <c r="N32" s="22">
        <v>36.979999999999997</v>
      </c>
      <c r="O32" s="22">
        <v>1.91</v>
      </c>
      <c r="P32" s="22">
        <v>37.04</v>
      </c>
      <c r="Q32" s="22">
        <v>1.94</v>
      </c>
      <c r="R32" s="22">
        <f t="shared" si="2"/>
        <v>37.15</v>
      </c>
      <c r="S32" s="22">
        <f t="shared" si="0"/>
        <v>1.972</v>
      </c>
      <c r="T32" s="22">
        <f t="shared" si="1"/>
        <v>4.8182099596231494</v>
      </c>
    </row>
    <row r="33" spans="1:20" x14ac:dyDescent="0.3">
      <c r="A33" s="20" t="s">
        <v>34</v>
      </c>
      <c r="B33" s="25" t="s">
        <v>21</v>
      </c>
      <c r="C33" s="24" t="s">
        <v>169</v>
      </c>
      <c r="D33" s="24" t="s">
        <v>172</v>
      </c>
      <c r="E33" s="24">
        <v>30</v>
      </c>
      <c r="F33" s="23">
        <v>0</v>
      </c>
      <c r="G33" s="22">
        <v>0.49</v>
      </c>
      <c r="H33" s="22">
        <v>27.9</v>
      </c>
      <c r="I33" s="22">
        <v>1.39</v>
      </c>
      <c r="J33" s="22">
        <v>27.24</v>
      </c>
      <c r="K33" s="22">
        <v>1.28</v>
      </c>
      <c r="L33" s="22">
        <v>26.75</v>
      </c>
      <c r="M33" s="22">
        <v>1.27</v>
      </c>
      <c r="N33" s="22">
        <v>27.5</v>
      </c>
      <c r="O33" s="22">
        <v>1.31</v>
      </c>
      <c r="P33" s="22">
        <v>27.68</v>
      </c>
      <c r="Q33" s="22">
        <v>1.34</v>
      </c>
      <c r="R33" s="22">
        <f t="shared" si="2"/>
        <v>27.413999999999998</v>
      </c>
      <c r="S33" s="22">
        <f t="shared" si="0"/>
        <v>1.3180000000000001</v>
      </c>
      <c r="T33" s="22">
        <f t="shared" si="1"/>
        <v>4.3177624571386888</v>
      </c>
    </row>
    <row r="34" spans="1:20" x14ac:dyDescent="0.3">
      <c r="A34" s="20" t="s">
        <v>35</v>
      </c>
      <c r="B34" s="25" t="s">
        <v>21</v>
      </c>
      <c r="C34" s="24" t="s">
        <v>169</v>
      </c>
      <c r="D34" s="24" t="s">
        <v>172</v>
      </c>
      <c r="E34" s="24">
        <v>30</v>
      </c>
      <c r="F34" s="23">
        <v>0</v>
      </c>
      <c r="G34" s="22">
        <v>0.49</v>
      </c>
      <c r="H34" s="22">
        <v>32.68</v>
      </c>
      <c r="I34" s="22">
        <v>3.1</v>
      </c>
      <c r="J34" s="22">
        <v>31.45</v>
      </c>
      <c r="K34" s="22">
        <v>2.9</v>
      </c>
      <c r="L34" s="22">
        <v>31.18</v>
      </c>
      <c r="M34" s="22">
        <v>2.85</v>
      </c>
      <c r="N34" s="22">
        <v>31.49</v>
      </c>
      <c r="O34" s="22">
        <v>2.92</v>
      </c>
      <c r="P34" s="22">
        <v>31.56</v>
      </c>
      <c r="Q34" s="22">
        <v>2.9</v>
      </c>
      <c r="R34" s="22">
        <f t="shared" si="2"/>
        <v>31.671999999999997</v>
      </c>
      <c r="S34" s="22">
        <f t="shared" si="0"/>
        <v>2.9340000000000002</v>
      </c>
      <c r="T34" s="22">
        <f t="shared" si="1"/>
        <v>8.7737029552917409</v>
      </c>
    </row>
    <row r="35" spans="1:20" x14ac:dyDescent="0.3">
      <c r="A35" s="20" t="s">
        <v>36</v>
      </c>
      <c r="B35" s="25" t="s">
        <v>21</v>
      </c>
      <c r="C35" s="24" t="s">
        <v>169</v>
      </c>
      <c r="D35" s="24" t="s">
        <v>172</v>
      </c>
      <c r="E35" s="24">
        <v>60</v>
      </c>
      <c r="F35" s="23">
        <v>0</v>
      </c>
      <c r="G35" s="22">
        <v>0.49</v>
      </c>
      <c r="H35" s="22">
        <v>31.8</v>
      </c>
      <c r="I35" s="22">
        <v>1.64</v>
      </c>
      <c r="J35" s="22">
        <v>31.04</v>
      </c>
      <c r="K35" s="22">
        <v>1.56</v>
      </c>
      <c r="L35" s="22">
        <v>30.89</v>
      </c>
      <c r="M35" s="22">
        <v>1.58</v>
      </c>
      <c r="N35" s="22">
        <v>30.87</v>
      </c>
      <c r="O35" s="22">
        <v>1.51</v>
      </c>
      <c r="P35" s="22">
        <v>31.17</v>
      </c>
      <c r="Q35" s="22">
        <v>1.59</v>
      </c>
      <c r="R35" s="22">
        <f t="shared" si="2"/>
        <v>31.154000000000003</v>
      </c>
      <c r="S35" s="22">
        <f t="shared" si="0"/>
        <v>1.5760000000000001</v>
      </c>
      <c r="T35" s="22">
        <f t="shared" si="1"/>
        <v>4.5687404506644409</v>
      </c>
    </row>
    <row r="36" spans="1:20" x14ac:dyDescent="0.3">
      <c r="A36" s="20" t="s">
        <v>37</v>
      </c>
      <c r="B36" s="25" t="s">
        <v>21</v>
      </c>
      <c r="C36" s="24" t="s">
        <v>169</v>
      </c>
      <c r="D36" s="24" t="s">
        <v>172</v>
      </c>
      <c r="E36" s="24">
        <v>60</v>
      </c>
      <c r="F36" s="23">
        <v>0</v>
      </c>
      <c r="G36" s="22">
        <v>0.49</v>
      </c>
      <c r="H36" s="22">
        <v>19.86</v>
      </c>
      <c r="I36" s="22">
        <v>0.63</v>
      </c>
      <c r="J36" s="22">
        <v>19.07</v>
      </c>
      <c r="K36" s="22">
        <v>0.55000000000000004</v>
      </c>
      <c r="L36" s="22">
        <v>18.489999999999998</v>
      </c>
      <c r="M36" s="22">
        <v>0.52</v>
      </c>
      <c r="N36" s="22">
        <v>18.309999999999999</v>
      </c>
      <c r="O36" s="22">
        <v>0.5</v>
      </c>
      <c r="P36" s="22">
        <v>18.72</v>
      </c>
      <c r="Q36" s="22">
        <v>0.53</v>
      </c>
      <c r="R36" s="22">
        <f t="shared" si="2"/>
        <v>18.89</v>
      </c>
      <c r="S36" s="22">
        <f t="shared" si="0"/>
        <v>0.54600000000000004</v>
      </c>
      <c r="T36" s="22">
        <f t="shared" si="1"/>
        <v>2.4004182106934886</v>
      </c>
    </row>
    <row r="37" spans="1:20" x14ac:dyDescent="0.3">
      <c r="A37" s="20" t="s">
        <v>38</v>
      </c>
      <c r="B37" s="25" t="s">
        <v>21</v>
      </c>
      <c r="C37" s="24" t="s">
        <v>169</v>
      </c>
      <c r="D37" s="24" t="s">
        <v>172</v>
      </c>
      <c r="E37" s="24">
        <v>60</v>
      </c>
      <c r="F37" s="23">
        <v>0</v>
      </c>
      <c r="G37" s="22">
        <v>0.49</v>
      </c>
      <c r="H37" s="22">
        <v>17.59</v>
      </c>
      <c r="I37" s="22">
        <v>0.26</v>
      </c>
      <c r="J37" s="22">
        <v>15.25</v>
      </c>
      <c r="K37" s="22">
        <v>0.22</v>
      </c>
      <c r="L37" s="22">
        <v>15.12</v>
      </c>
      <c r="M37" s="22">
        <v>0.21</v>
      </c>
      <c r="N37" s="22">
        <v>14.87</v>
      </c>
      <c r="O37" s="22">
        <v>0.22</v>
      </c>
      <c r="P37" s="22" t="s">
        <v>40</v>
      </c>
      <c r="Q37" s="22" t="s">
        <v>40</v>
      </c>
      <c r="R37" s="22">
        <f t="shared" si="2"/>
        <v>15.7075</v>
      </c>
      <c r="S37" s="22">
        <f t="shared" si="0"/>
        <v>0.22749999999999998</v>
      </c>
      <c r="T37" s="22">
        <f t="shared" si="1"/>
        <v>0.95835269775584919</v>
      </c>
    </row>
    <row r="38" spans="1:20" x14ac:dyDescent="0.3">
      <c r="A38" s="20" t="s">
        <v>52</v>
      </c>
      <c r="B38" s="25" t="s">
        <v>24</v>
      </c>
      <c r="C38" s="24" t="s">
        <v>169</v>
      </c>
      <c r="D38" s="24" t="s">
        <v>172</v>
      </c>
      <c r="E38" s="24">
        <v>30</v>
      </c>
      <c r="F38" s="23">
        <v>0</v>
      </c>
      <c r="G38" s="22">
        <v>0.49</v>
      </c>
      <c r="H38" s="22">
        <v>29.75</v>
      </c>
      <c r="I38" s="22">
        <v>1.99</v>
      </c>
      <c r="J38" s="22">
        <v>28.98</v>
      </c>
      <c r="K38" s="22">
        <v>1.86</v>
      </c>
      <c r="L38" s="22">
        <v>29.21</v>
      </c>
      <c r="M38" s="22">
        <v>1.88</v>
      </c>
      <c r="N38" s="22">
        <v>29.3</v>
      </c>
      <c r="O38" s="22">
        <v>1.9</v>
      </c>
      <c r="P38" s="22">
        <v>29.37</v>
      </c>
      <c r="Q38" s="22">
        <v>1.9</v>
      </c>
      <c r="R38" s="22">
        <f t="shared" si="2"/>
        <v>29.321999999999996</v>
      </c>
      <c r="S38" s="22">
        <f t="shared" si="0"/>
        <v>1.9060000000000001</v>
      </c>
      <c r="T38" s="22">
        <f t="shared" si="1"/>
        <v>6.0102387285996874</v>
      </c>
    </row>
    <row r="39" spans="1:20" x14ac:dyDescent="0.3">
      <c r="A39" s="20" t="s">
        <v>53</v>
      </c>
      <c r="B39" s="25" t="s">
        <v>24</v>
      </c>
      <c r="C39" s="24" t="s">
        <v>169</v>
      </c>
      <c r="D39" s="24" t="s">
        <v>172</v>
      </c>
      <c r="E39" s="24">
        <v>30</v>
      </c>
      <c r="F39" s="23">
        <v>0</v>
      </c>
      <c r="G39" s="22">
        <v>0.49</v>
      </c>
      <c r="H39" s="22">
        <v>11.05</v>
      </c>
      <c r="I39" s="22">
        <v>0.35</v>
      </c>
      <c r="J39" s="22">
        <v>10.7</v>
      </c>
      <c r="K39" s="22">
        <v>0.33</v>
      </c>
      <c r="L39" s="22">
        <v>10.55</v>
      </c>
      <c r="M39" s="22">
        <v>0.32</v>
      </c>
      <c r="N39" s="22">
        <v>10.42</v>
      </c>
      <c r="O39" s="22">
        <v>0.33</v>
      </c>
      <c r="P39" s="22">
        <v>10.050000000000001</v>
      </c>
      <c r="Q39" s="22">
        <v>0.3</v>
      </c>
      <c r="R39" s="22">
        <f t="shared" si="2"/>
        <v>10.553999999999998</v>
      </c>
      <c r="S39" s="22">
        <f t="shared" si="0"/>
        <v>0.32600000000000001</v>
      </c>
      <c r="T39" s="22">
        <f t="shared" si="1"/>
        <v>2.5988762554481717</v>
      </c>
    </row>
    <row r="40" spans="1:20" x14ac:dyDescent="0.3">
      <c r="A40" s="20" t="s">
        <v>54</v>
      </c>
      <c r="B40" s="25" t="s">
        <v>24</v>
      </c>
      <c r="C40" s="24" t="s">
        <v>169</v>
      </c>
      <c r="D40" s="24" t="s">
        <v>172</v>
      </c>
      <c r="E40" s="24">
        <v>60</v>
      </c>
      <c r="F40" s="23">
        <v>0</v>
      </c>
      <c r="G40" s="22">
        <v>0.49</v>
      </c>
      <c r="H40" s="22">
        <v>23.8</v>
      </c>
      <c r="I40" s="22">
        <v>2.84</v>
      </c>
      <c r="J40" s="22">
        <v>24.02</v>
      </c>
      <c r="K40" s="22">
        <v>2.72</v>
      </c>
      <c r="L40" s="22">
        <v>23.59</v>
      </c>
      <c r="M40" s="22">
        <v>2.69</v>
      </c>
      <c r="N40" s="22">
        <v>23.53</v>
      </c>
      <c r="O40" s="22">
        <v>2.67</v>
      </c>
      <c r="P40" s="22">
        <v>23.68</v>
      </c>
      <c r="Q40" s="22">
        <v>2.7</v>
      </c>
      <c r="R40" s="22">
        <f t="shared" si="2"/>
        <v>23.724</v>
      </c>
      <c r="S40" s="22">
        <f t="shared" si="0"/>
        <v>2.7240000000000002</v>
      </c>
      <c r="T40" s="22">
        <f t="shared" si="1"/>
        <v>10.992043500252908</v>
      </c>
    </row>
    <row r="41" spans="1:20" x14ac:dyDescent="0.3">
      <c r="A41" s="20" t="s">
        <v>55</v>
      </c>
      <c r="B41" s="25" t="s">
        <v>24</v>
      </c>
      <c r="C41" s="24" t="s">
        <v>169</v>
      </c>
      <c r="D41" s="24" t="s">
        <v>172</v>
      </c>
      <c r="E41" s="24">
        <v>60</v>
      </c>
      <c r="F41" s="23">
        <v>0</v>
      </c>
      <c r="G41" s="22">
        <v>0.49</v>
      </c>
      <c r="H41" s="22">
        <v>12.63</v>
      </c>
      <c r="I41" s="22">
        <v>0.56000000000000005</v>
      </c>
      <c r="J41" s="22">
        <v>12.95</v>
      </c>
      <c r="K41" s="22">
        <v>0.55000000000000004</v>
      </c>
      <c r="L41" s="22">
        <v>12.72</v>
      </c>
      <c r="M41" s="22">
        <v>0.54</v>
      </c>
      <c r="N41" s="22">
        <v>12.8</v>
      </c>
      <c r="O41" s="22">
        <v>0.55000000000000004</v>
      </c>
      <c r="P41" s="22">
        <v>13</v>
      </c>
      <c r="Q41" s="22">
        <v>0.56000000000000005</v>
      </c>
      <c r="R41" s="22">
        <f t="shared" si="2"/>
        <v>12.819999999999999</v>
      </c>
      <c r="S41" s="22">
        <f t="shared" si="0"/>
        <v>0.55200000000000005</v>
      </c>
      <c r="T41" s="22">
        <f t="shared" si="1"/>
        <v>3.8157722308892357</v>
      </c>
    </row>
    <row r="42" spans="1:20" x14ac:dyDescent="0.3">
      <c r="A42" s="20" t="s">
        <v>158</v>
      </c>
      <c r="B42" s="25" t="s">
        <v>40</v>
      </c>
      <c r="C42" s="25" t="s">
        <v>40</v>
      </c>
      <c r="D42" s="25" t="s">
        <v>40</v>
      </c>
      <c r="E42" s="24">
        <v>30</v>
      </c>
      <c r="F42" s="23">
        <v>0.03</v>
      </c>
      <c r="G42" s="22">
        <f>(AVERAGE(0.36,0.29,0.3,0.29,0.29))/H42*100</f>
        <v>1.1050920910075841</v>
      </c>
      <c r="H42" s="22">
        <f>27.72-0.03</f>
        <v>27.689999999999998</v>
      </c>
      <c r="J42" s="22">
        <f>26.92-0.03</f>
        <v>26.89</v>
      </c>
      <c r="L42" s="22">
        <f>27.74-0.03</f>
        <v>27.709999999999997</v>
      </c>
      <c r="N42" s="22">
        <f>27.41-0.03</f>
        <v>27.38</v>
      </c>
      <c r="P42" s="22">
        <f>27.03-0.03</f>
        <v>27</v>
      </c>
      <c r="R42" s="22">
        <f>AVERAGE(H42,J42,N42,P42)</f>
        <v>27.24</v>
      </c>
    </row>
    <row r="43" spans="1:20" x14ac:dyDescent="0.3">
      <c r="A43" s="20" t="s">
        <v>69</v>
      </c>
      <c r="B43" s="25" t="s">
        <v>40</v>
      </c>
      <c r="C43" s="25" t="s">
        <v>40</v>
      </c>
      <c r="D43" s="25" t="s">
        <v>40</v>
      </c>
      <c r="E43" s="24">
        <v>30</v>
      </c>
      <c r="F43" s="23">
        <v>0.03</v>
      </c>
      <c r="G43" s="22">
        <f>(AVERAGE(0.65,0.24,0.24,0.22,0.22))/H43*100</f>
        <v>0.67570475575640188</v>
      </c>
      <c r="H43" s="22">
        <f>46.5-F43</f>
        <v>46.47</v>
      </c>
      <c r="J43" s="22">
        <f>46.13-F43</f>
        <v>46.1</v>
      </c>
      <c r="L43" s="22">
        <f>46.53-F43</f>
        <v>46.5</v>
      </c>
      <c r="N43" s="22">
        <f>45.22-F43</f>
        <v>45.19</v>
      </c>
      <c r="P43" s="22">
        <f>44.85-F43</f>
        <v>44.82</v>
      </c>
      <c r="R43" s="22">
        <f>AVERAGE(P43,N43,L43,J43,H43,)</f>
        <v>38.18</v>
      </c>
    </row>
    <row r="44" spans="1:20" x14ac:dyDescent="0.3">
      <c r="A44" s="20" t="s">
        <v>159</v>
      </c>
      <c r="B44" s="25" t="s">
        <v>40</v>
      </c>
      <c r="C44" s="25" t="s">
        <v>40</v>
      </c>
      <c r="D44" s="25" t="s">
        <v>40</v>
      </c>
      <c r="E44" s="24">
        <v>60</v>
      </c>
      <c r="F44" s="23">
        <v>0</v>
      </c>
      <c r="G44" s="22">
        <f>(AVERAGE(0.05,0.04,0.04,0.04,0.04))/H44*100</f>
        <v>0.17728999577880963</v>
      </c>
      <c r="H44" s="22">
        <v>23.69</v>
      </c>
      <c r="J44" s="22">
        <v>23.94</v>
      </c>
      <c r="L44" s="22">
        <v>23.93</v>
      </c>
      <c r="N44" s="22">
        <v>23.89</v>
      </c>
      <c r="P44" s="22">
        <v>24.22</v>
      </c>
      <c r="R44" s="22">
        <f>AVERAGE(H44,J44,L44,N44,P44)</f>
        <v>23.934000000000001</v>
      </c>
    </row>
    <row r="45" spans="1:20" x14ac:dyDescent="0.3">
      <c r="A45" s="20" t="s">
        <v>160</v>
      </c>
      <c r="B45" s="25" t="s">
        <v>40</v>
      </c>
      <c r="C45" s="25" t="s">
        <v>40</v>
      </c>
      <c r="D45" s="25" t="s">
        <v>40</v>
      </c>
      <c r="E45" s="24">
        <v>60</v>
      </c>
      <c r="F45" s="23">
        <v>0</v>
      </c>
      <c r="G45" s="22">
        <f>(AVERAGE(0.01,0.01,0.01,0.01))/H45*100</f>
        <v>0.10660980810234541</v>
      </c>
      <c r="H45" s="22">
        <v>9.3800000000000008</v>
      </c>
      <c r="J45" s="22">
        <v>9.64</v>
      </c>
      <c r="L45" s="22">
        <v>9.83</v>
      </c>
      <c r="N45" s="22">
        <v>9.36</v>
      </c>
      <c r="P45" s="22" t="s">
        <v>40</v>
      </c>
      <c r="R45" s="22">
        <f>AVERAGE(H45,J45,L45,N45)</f>
        <v>9.5525000000000002</v>
      </c>
    </row>
    <row r="46" spans="1:20" x14ac:dyDescent="0.3">
      <c r="A46" s="20" t="s">
        <v>161</v>
      </c>
      <c r="B46" s="25" t="s">
        <v>40</v>
      </c>
      <c r="C46" s="25" t="s">
        <v>40</v>
      </c>
      <c r="D46" s="25" t="s">
        <v>40</v>
      </c>
      <c r="E46" s="24">
        <v>60</v>
      </c>
      <c r="F46" s="23">
        <v>0</v>
      </c>
      <c r="G46" s="22">
        <f>(AVERAGE(0.06,0.05,0.05,0.04,0.05))/H46*100</f>
        <v>0.40551500405515012</v>
      </c>
      <c r="H46" s="22">
        <v>12.33</v>
      </c>
      <c r="J46" s="22">
        <v>11.55</v>
      </c>
      <c r="L46" s="22">
        <v>11.56</v>
      </c>
      <c r="N46" s="22">
        <v>11.77</v>
      </c>
      <c r="P46" s="22">
        <v>11.61</v>
      </c>
      <c r="R46" s="22">
        <f>AVERAGE(H46,J46,L46,N46,P46)</f>
        <v>11.764000000000001</v>
      </c>
    </row>
    <row r="47" spans="1:20" x14ac:dyDescent="0.3">
      <c r="G47" s="22">
        <f>AVERAGE(G42:G46)</f>
        <v>0.49404233094005823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AE70-FF86-DC4D-AF96-F9ECF4754E33}">
  <dimension ref="A1:V46"/>
  <sheetViews>
    <sheetView topLeftCell="A14" workbookViewId="0">
      <pane xSplit="1" topLeftCell="M1" activePane="topRight" state="frozen"/>
      <selection pane="topRight" activeCell="X39" sqref="X39"/>
    </sheetView>
  </sheetViews>
  <sheetFormatPr baseColWidth="10" defaultRowHeight="18.75" x14ac:dyDescent="0.3"/>
  <cols>
    <col min="1" max="1" width="15" style="19" bestFit="1" customWidth="1"/>
    <col min="2" max="2" width="15" style="24" customWidth="1"/>
    <col min="3" max="3" width="16.625" style="24" bestFit="1" customWidth="1"/>
    <col min="4" max="4" width="16.625" style="24" customWidth="1"/>
    <col min="5" max="5" width="15" style="24" customWidth="1"/>
    <col min="6" max="6" width="18.5" style="22" bestFit="1" customWidth="1"/>
    <col min="7" max="7" width="33.5" style="22" bestFit="1" customWidth="1"/>
    <col min="8" max="8" width="12.375" style="22" bestFit="1" customWidth="1"/>
    <col min="9" max="9" width="25.5" style="22" bestFit="1" customWidth="1"/>
    <col min="10" max="10" width="12.375" style="22" bestFit="1" customWidth="1"/>
    <col min="11" max="11" width="25.5" style="22" bestFit="1" customWidth="1"/>
    <col min="12" max="12" width="12.375" style="22" bestFit="1" customWidth="1"/>
    <col min="13" max="13" width="25.5" style="22" bestFit="1" customWidth="1"/>
    <col min="14" max="14" width="12.375" style="22" bestFit="1" customWidth="1"/>
    <col min="15" max="15" width="25.5" style="22" bestFit="1" customWidth="1"/>
    <col min="16" max="16" width="12.375" style="22" bestFit="1" customWidth="1"/>
    <col min="17" max="17" width="21.875" style="22" bestFit="1" customWidth="1"/>
    <col min="18" max="18" width="10.125" style="22" bestFit="1" customWidth="1"/>
    <col min="19" max="19" width="16.5" style="22" bestFit="1" customWidth="1"/>
    <col min="20" max="20" width="26.375" style="22" bestFit="1" customWidth="1"/>
    <col min="21" max="21" width="12.375" bestFit="1" customWidth="1"/>
  </cols>
  <sheetData>
    <row r="1" spans="1:22" s="19" customFormat="1" x14ac:dyDescent="0.3">
      <c r="A1" s="19" t="s">
        <v>146</v>
      </c>
      <c r="B1" s="19" t="s">
        <v>165</v>
      </c>
      <c r="C1" s="19" t="s">
        <v>166</v>
      </c>
      <c r="D1" s="19" t="s">
        <v>167</v>
      </c>
      <c r="E1" s="19" t="s">
        <v>168</v>
      </c>
      <c r="F1" s="21" t="s">
        <v>162</v>
      </c>
      <c r="G1" s="21" t="s">
        <v>173</v>
      </c>
      <c r="H1" s="21" t="s">
        <v>134</v>
      </c>
      <c r="I1" s="21" t="s">
        <v>135</v>
      </c>
      <c r="J1" s="21" t="s">
        <v>136</v>
      </c>
      <c r="K1" s="21" t="s">
        <v>137</v>
      </c>
      <c r="L1" s="21" t="s">
        <v>138</v>
      </c>
      <c r="M1" s="21" t="s">
        <v>141</v>
      </c>
      <c r="N1" s="21" t="s">
        <v>140</v>
      </c>
      <c r="O1" s="21" t="s">
        <v>139</v>
      </c>
      <c r="P1" s="21" t="s">
        <v>142</v>
      </c>
      <c r="Q1" s="21" t="s">
        <v>143</v>
      </c>
      <c r="R1" s="21" t="s">
        <v>144</v>
      </c>
      <c r="S1" s="21" t="s">
        <v>163</v>
      </c>
      <c r="T1" s="21" t="s">
        <v>164</v>
      </c>
      <c r="U1" s="19" t="s">
        <v>1423</v>
      </c>
      <c r="V1" s="19" t="s">
        <v>1435</v>
      </c>
    </row>
    <row r="2" spans="1:22" x14ac:dyDescent="0.3">
      <c r="A2" s="19" t="s">
        <v>9</v>
      </c>
      <c r="B2" s="24" t="s">
        <v>6</v>
      </c>
      <c r="C2" s="24" t="s">
        <v>169</v>
      </c>
      <c r="D2" s="24" t="s">
        <v>170</v>
      </c>
      <c r="E2" s="24">
        <v>30</v>
      </c>
      <c r="F2" s="22">
        <v>0</v>
      </c>
      <c r="G2" s="22">
        <v>0.49</v>
      </c>
      <c r="H2" s="22">
        <v>37.06</v>
      </c>
      <c r="I2" s="22">
        <v>1.88</v>
      </c>
      <c r="J2" s="22">
        <v>37.119999999999997</v>
      </c>
      <c r="K2" s="22">
        <v>1.75</v>
      </c>
      <c r="L2" s="22">
        <v>36.43</v>
      </c>
      <c r="M2" s="22">
        <v>1.72</v>
      </c>
      <c r="N2" s="22">
        <v>37.31</v>
      </c>
      <c r="O2" s="22">
        <v>1.77</v>
      </c>
      <c r="P2" s="22">
        <v>37.65</v>
      </c>
      <c r="Q2" s="22">
        <v>1.82</v>
      </c>
      <c r="R2" s="22">
        <f>AVERAGE(H2,J2,L2,N2,P2)</f>
        <v>37.114000000000004</v>
      </c>
      <c r="S2" s="22">
        <f>AVERAGE(I2,K2,M2,O2,Q2)</f>
        <v>1.7879999999999998</v>
      </c>
      <c r="T2" s="22">
        <f>(S2/R2*100)-G2</f>
        <v>4.3275890499541942</v>
      </c>
      <c r="U2" t="s">
        <v>40</v>
      </c>
      <c r="V2" t="s">
        <v>40</v>
      </c>
    </row>
    <row r="3" spans="1:22" x14ac:dyDescent="0.3">
      <c r="A3" s="19" t="s">
        <v>10</v>
      </c>
      <c r="B3" s="24" t="s">
        <v>6</v>
      </c>
      <c r="C3" s="24" t="s">
        <v>169</v>
      </c>
      <c r="D3" s="24" t="s">
        <v>170</v>
      </c>
      <c r="E3" s="24">
        <v>30</v>
      </c>
      <c r="F3" s="22">
        <v>0</v>
      </c>
      <c r="G3" s="22">
        <v>0.49</v>
      </c>
      <c r="H3" s="22">
        <v>35.36</v>
      </c>
      <c r="I3" s="22">
        <v>0.59</v>
      </c>
      <c r="J3" s="22">
        <v>35.61</v>
      </c>
      <c r="K3" s="22">
        <v>0.54</v>
      </c>
      <c r="L3" s="22">
        <v>35.51</v>
      </c>
      <c r="M3" s="22">
        <v>0.56000000000000005</v>
      </c>
      <c r="N3" s="22">
        <v>35.659999999999997</v>
      </c>
      <c r="O3" s="22">
        <v>0.54</v>
      </c>
      <c r="P3" s="22">
        <v>35.22</v>
      </c>
      <c r="Q3" s="22">
        <v>0.53</v>
      </c>
      <c r="R3" s="22">
        <f>AVERAGE(H3,J3,L3,N3,P3)</f>
        <v>35.471999999999994</v>
      </c>
      <c r="S3" s="22">
        <f t="shared" ref="S3:S41" si="0">AVERAGE(I3,K3,M3,O3,Q3)</f>
        <v>0.55199999999999994</v>
      </c>
      <c r="T3" s="22">
        <f t="shared" ref="T3:T41" si="1">(S3/R3*100)-G3</f>
        <v>1.0661569688768606</v>
      </c>
      <c r="U3" t="s">
        <v>40</v>
      </c>
      <c r="V3" t="s">
        <v>40</v>
      </c>
    </row>
    <row r="4" spans="1:22" x14ac:dyDescent="0.3">
      <c r="A4" s="19" t="s">
        <v>11</v>
      </c>
      <c r="B4" s="24" t="s">
        <v>6</v>
      </c>
      <c r="C4" s="24" t="s">
        <v>169</v>
      </c>
      <c r="D4" s="24" t="s">
        <v>170</v>
      </c>
      <c r="E4" s="24">
        <v>30</v>
      </c>
      <c r="F4" s="22">
        <v>0</v>
      </c>
      <c r="G4" s="22">
        <v>0.49</v>
      </c>
      <c r="H4" s="22">
        <v>34.97</v>
      </c>
      <c r="I4" s="22">
        <v>1.94</v>
      </c>
      <c r="J4" s="22">
        <v>35.21</v>
      </c>
      <c r="K4" s="22">
        <v>1.83</v>
      </c>
      <c r="L4" s="22">
        <v>35.4</v>
      </c>
      <c r="M4" s="22">
        <v>1.83</v>
      </c>
      <c r="N4" s="22">
        <v>35.409999999999997</v>
      </c>
      <c r="O4" s="22">
        <v>1.83</v>
      </c>
      <c r="P4" s="22">
        <v>35.97</v>
      </c>
      <c r="Q4" s="22">
        <v>1.87</v>
      </c>
      <c r="R4" s="22">
        <f>AVERAGE(H4,J4,L4,N4,P4)</f>
        <v>35.392000000000003</v>
      </c>
      <c r="S4" s="22">
        <f t="shared" si="0"/>
        <v>1.86</v>
      </c>
      <c r="T4" s="22">
        <f t="shared" si="1"/>
        <v>4.7654249547920431</v>
      </c>
      <c r="U4" t="s">
        <v>40</v>
      </c>
      <c r="V4" t="s">
        <v>40</v>
      </c>
    </row>
    <row r="5" spans="1:22" x14ac:dyDescent="0.3">
      <c r="A5" s="19" t="s">
        <v>63</v>
      </c>
      <c r="B5" s="24" t="s">
        <v>6</v>
      </c>
      <c r="C5" s="24" t="s">
        <v>169</v>
      </c>
      <c r="D5" s="24" t="s">
        <v>170</v>
      </c>
      <c r="E5" s="24">
        <v>30</v>
      </c>
      <c r="F5" s="22">
        <v>0</v>
      </c>
      <c r="G5" s="22">
        <v>0.49</v>
      </c>
      <c r="H5" s="22">
        <v>22.5</v>
      </c>
      <c r="I5" s="22">
        <v>1.05</v>
      </c>
      <c r="J5" s="22">
        <v>21.38</v>
      </c>
      <c r="K5" s="22">
        <v>0.81</v>
      </c>
      <c r="L5" s="22">
        <v>21.43</v>
      </c>
      <c r="M5" s="22">
        <v>0.81</v>
      </c>
      <c r="N5" s="22">
        <v>21.55</v>
      </c>
      <c r="O5" s="22">
        <v>0.82</v>
      </c>
      <c r="P5" s="22">
        <v>21.71</v>
      </c>
      <c r="Q5" s="22">
        <v>0.81</v>
      </c>
      <c r="R5" s="22">
        <f>AVERAGE(H5,J5,L5,N5,P5)</f>
        <v>21.713999999999999</v>
      </c>
      <c r="S5" s="22">
        <f t="shared" si="0"/>
        <v>0.86</v>
      </c>
      <c r="T5" s="22">
        <f t="shared" si="1"/>
        <v>3.4705784286635355</v>
      </c>
      <c r="U5" s="3">
        <f>AVERAGE(uptake_rates_raw!W2:W7)</f>
        <v>324802.39520958083</v>
      </c>
      <c r="V5">
        <v>1017952</v>
      </c>
    </row>
    <row r="6" spans="1:22" x14ac:dyDescent="0.3">
      <c r="A6" s="19" t="s">
        <v>64</v>
      </c>
      <c r="B6" s="24" t="s">
        <v>6</v>
      </c>
      <c r="C6" s="24" t="s">
        <v>169</v>
      </c>
      <c r="D6" s="24" t="s">
        <v>170</v>
      </c>
      <c r="E6" s="24">
        <v>30</v>
      </c>
      <c r="F6" s="22">
        <v>0</v>
      </c>
      <c r="G6" s="22">
        <v>0.49</v>
      </c>
      <c r="H6" s="22">
        <v>39.85</v>
      </c>
      <c r="I6" s="22">
        <v>1.69</v>
      </c>
      <c r="J6" s="22">
        <v>37.630000000000003</v>
      </c>
      <c r="K6" s="22">
        <v>1.5</v>
      </c>
      <c r="L6" s="22">
        <v>37.450000000000003</v>
      </c>
      <c r="M6" s="22">
        <v>1.5</v>
      </c>
      <c r="N6" s="22">
        <v>37.07</v>
      </c>
      <c r="O6" s="22">
        <v>1.47</v>
      </c>
      <c r="P6" s="22">
        <v>37.53</v>
      </c>
      <c r="Q6" s="22">
        <v>1.47</v>
      </c>
      <c r="R6" s="22">
        <f t="shared" ref="R6:R41" si="2">AVERAGE(H6,J6,L6,N6,P6)</f>
        <v>37.905999999999999</v>
      </c>
      <c r="S6" s="22">
        <f t="shared" si="0"/>
        <v>1.5259999999999998</v>
      </c>
      <c r="T6" s="22">
        <f t="shared" si="1"/>
        <v>3.5357479027066949</v>
      </c>
      <c r="U6" s="3">
        <f>AVERAGE(uptake_rates_raw!W8:W13)</f>
        <v>323553.89221556886</v>
      </c>
      <c r="V6">
        <v>1021451</v>
      </c>
    </row>
    <row r="7" spans="1:22" x14ac:dyDescent="0.3">
      <c r="A7" s="19" t="s">
        <v>65</v>
      </c>
      <c r="B7" s="24" t="s">
        <v>6</v>
      </c>
      <c r="C7" s="24" t="s">
        <v>169</v>
      </c>
      <c r="D7" s="24" t="s">
        <v>170</v>
      </c>
      <c r="E7" s="24">
        <v>30</v>
      </c>
      <c r="F7" s="22">
        <v>0</v>
      </c>
      <c r="G7" s="22">
        <v>0.49</v>
      </c>
      <c r="H7" s="22">
        <v>31.12</v>
      </c>
      <c r="I7" s="22">
        <v>1.1100000000000001</v>
      </c>
      <c r="J7" s="22">
        <v>29.9</v>
      </c>
      <c r="K7" s="22">
        <v>0.98</v>
      </c>
      <c r="L7" s="22">
        <v>29.82</v>
      </c>
      <c r="M7" s="22">
        <v>0.94</v>
      </c>
      <c r="N7" s="22">
        <v>29.48</v>
      </c>
      <c r="O7" s="22">
        <v>0.96</v>
      </c>
      <c r="P7" s="22">
        <v>29.42</v>
      </c>
      <c r="Q7" s="22">
        <v>0.95</v>
      </c>
      <c r="R7" s="22">
        <f t="shared" si="2"/>
        <v>29.948</v>
      </c>
      <c r="S7" s="22">
        <f t="shared" si="0"/>
        <v>0.98799999999999988</v>
      </c>
      <c r="T7" s="22">
        <f t="shared" si="1"/>
        <v>2.8090516895952984</v>
      </c>
      <c r="U7" s="3">
        <f>AVERAGE(uptake_rates_raw!W14:W19)</f>
        <v>286147.70459081838</v>
      </c>
      <c r="V7">
        <v>1040133</v>
      </c>
    </row>
    <row r="8" spans="1:22" x14ac:dyDescent="0.3">
      <c r="A8" s="19" t="s">
        <v>12</v>
      </c>
      <c r="B8" s="24" t="s">
        <v>6</v>
      </c>
      <c r="C8" s="24" t="s">
        <v>169</v>
      </c>
      <c r="D8" s="24" t="s">
        <v>170</v>
      </c>
      <c r="E8" s="24">
        <v>60</v>
      </c>
      <c r="F8" s="22">
        <v>0</v>
      </c>
      <c r="G8" s="22">
        <v>0.49</v>
      </c>
      <c r="H8" s="22">
        <v>38.65</v>
      </c>
      <c r="I8" s="22">
        <v>2.4500000000000002</v>
      </c>
      <c r="J8" s="22">
        <v>37.61</v>
      </c>
      <c r="K8" s="22">
        <v>2.19</v>
      </c>
      <c r="L8" s="22">
        <v>38.700000000000003</v>
      </c>
      <c r="M8" s="22">
        <v>2.2200000000000002</v>
      </c>
      <c r="N8" s="22">
        <v>38.159999999999997</v>
      </c>
      <c r="O8" s="22">
        <v>2.17</v>
      </c>
      <c r="P8" s="22">
        <v>38.619999999999997</v>
      </c>
      <c r="Q8" s="22">
        <v>2.21</v>
      </c>
      <c r="R8" s="22">
        <f t="shared" si="2"/>
        <v>38.347999999999999</v>
      </c>
      <c r="S8" s="22">
        <f t="shared" si="0"/>
        <v>2.2480000000000002</v>
      </c>
      <c r="T8" s="22">
        <f t="shared" si="1"/>
        <v>5.3721049337644731</v>
      </c>
      <c r="U8" t="s">
        <v>40</v>
      </c>
      <c r="V8" t="s">
        <v>40</v>
      </c>
    </row>
    <row r="9" spans="1:22" x14ac:dyDescent="0.3">
      <c r="A9" s="19" t="s">
        <v>13</v>
      </c>
      <c r="B9" s="24" t="s">
        <v>6</v>
      </c>
      <c r="C9" s="24" t="s">
        <v>169</v>
      </c>
      <c r="D9" s="24" t="s">
        <v>170</v>
      </c>
      <c r="E9" s="24">
        <v>60</v>
      </c>
      <c r="F9" s="22">
        <v>0</v>
      </c>
      <c r="G9" s="22">
        <v>0.49</v>
      </c>
      <c r="H9" s="22">
        <v>30.87</v>
      </c>
      <c r="I9" s="22">
        <v>3.47</v>
      </c>
      <c r="J9" s="22">
        <v>30.07</v>
      </c>
      <c r="K9" s="22">
        <v>3.26</v>
      </c>
      <c r="L9" s="22">
        <v>29.68</v>
      </c>
      <c r="M9" s="22">
        <v>3.14</v>
      </c>
      <c r="N9" s="22">
        <v>29.73</v>
      </c>
      <c r="O9" s="22">
        <v>3.23</v>
      </c>
      <c r="P9" s="22">
        <v>29.76</v>
      </c>
      <c r="Q9" s="22">
        <v>3.18</v>
      </c>
      <c r="R9" s="22">
        <f t="shared" si="2"/>
        <v>30.022000000000002</v>
      </c>
      <c r="S9" s="22">
        <f t="shared" si="0"/>
        <v>3.2560000000000002</v>
      </c>
      <c r="T9" s="22">
        <f t="shared" si="1"/>
        <v>10.355380054626607</v>
      </c>
      <c r="U9" t="s">
        <v>40</v>
      </c>
      <c r="V9" t="s">
        <v>40</v>
      </c>
    </row>
    <row r="10" spans="1:22" x14ac:dyDescent="0.3">
      <c r="A10" s="19" t="s">
        <v>14</v>
      </c>
      <c r="B10" s="24" t="s">
        <v>6</v>
      </c>
      <c r="C10" s="24" t="s">
        <v>169</v>
      </c>
      <c r="D10" s="24" t="s">
        <v>170</v>
      </c>
      <c r="E10" s="24">
        <v>60</v>
      </c>
      <c r="F10" s="22">
        <v>0</v>
      </c>
      <c r="G10" s="22">
        <v>0.49</v>
      </c>
      <c r="H10" s="22">
        <v>36.72</v>
      </c>
      <c r="I10" s="22">
        <v>1.1499999999999999</v>
      </c>
      <c r="J10" s="22">
        <v>35.92</v>
      </c>
      <c r="K10" s="22">
        <v>1.07</v>
      </c>
      <c r="L10" s="22">
        <v>36.03</v>
      </c>
      <c r="M10" s="22">
        <v>1.04</v>
      </c>
      <c r="N10" s="22">
        <v>36.17</v>
      </c>
      <c r="O10" s="22">
        <v>1.04</v>
      </c>
      <c r="P10" s="22">
        <v>36.26</v>
      </c>
      <c r="Q10" s="22">
        <v>1.04</v>
      </c>
      <c r="R10" s="22">
        <f t="shared" si="2"/>
        <v>36.22</v>
      </c>
      <c r="S10" s="22">
        <f t="shared" si="0"/>
        <v>1.0680000000000001</v>
      </c>
      <c r="T10" s="22">
        <f t="shared" si="1"/>
        <v>2.4586471562672561</v>
      </c>
      <c r="U10" t="s">
        <v>40</v>
      </c>
      <c r="V10" t="s">
        <v>40</v>
      </c>
    </row>
    <row r="11" spans="1:22" x14ac:dyDescent="0.3">
      <c r="A11" s="19" t="s">
        <v>66</v>
      </c>
      <c r="B11" s="24" t="s">
        <v>6</v>
      </c>
      <c r="C11" s="24" t="s">
        <v>169</v>
      </c>
      <c r="D11" s="24" t="s">
        <v>170</v>
      </c>
      <c r="E11" s="24">
        <v>60</v>
      </c>
      <c r="F11" s="22">
        <v>0</v>
      </c>
      <c r="G11" s="22">
        <v>0.49</v>
      </c>
      <c r="H11" s="22">
        <v>22.84</v>
      </c>
      <c r="I11" s="22">
        <v>1.78</v>
      </c>
      <c r="J11" s="22">
        <v>21.7</v>
      </c>
      <c r="K11" s="22">
        <v>1.47</v>
      </c>
      <c r="L11" s="22">
        <v>21.19</v>
      </c>
      <c r="M11" s="22">
        <v>1.47</v>
      </c>
      <c r="N11" s="22">
        <v>21.47</v>
      </c>
      <c r="O11" s="22">
        <v>1.46</v>
      </c>
      <c r="P11" s="22">
        <v>21.68</v>
      </c>
      <c r="Q11" s="22">
        <v>1.49</v>
      </c>
      <c r="R11" s="22">
        <f t="shared" si="2"/>
        <v>21.776</v>
      </c>
      <c r="S11" s="22">
        <f t="shared" si="0"/>
        <v>1.534</v>
      </c>
      <c r="T11" s="22">
        <f t="shared" si="1"/>
        <v>6.5544526083761934</v>
      </c>
      <c r="U11" s="3">
        <f>AVERAGE(uptake_rates_raw!W20:W27)</f>
        <v>298416.20508982032</v>
      </c>
      <c r="V11">
        <v>1058131</v>
      </c>
    </row>
    <row r="12" spans="1:22" x14ac:dyDescent="0.3">
      <c r="A12" s="19" t="s">
        <v>67</v>
      </c>
      <c r="B12" s="24" t="s">
        <v>6</v>
      </c>
      <c r="C12" s="24" t="s">
        <v>169</v>
      </c>
      <c r="D12" s="24" t="s">
        <v>170</v>
      </c>
      <c r="E12" s="24">
        <v>60</v>
      </c>
      <c r="F12" s="22">
        <v>0</v>
      </c>
      <c r="G12" s="22">
        <v>0.49</v>
      </c>
      <c r="H12" s="22">
        <v>31.18</v>
      </c>
      <c r="I12" s="22">
        <v>2.62</v>
      </c>
      <c r="J12" s="22">
        <v>29.15</v>
      </c>
      <c r="K12" s="22">
        <v>2.3199999999999998</v>
      </c>
      <c r="L12" s="22">
        <v>29.36</v>
      </c>
      <c r="M12" s="22">
        <v>2.38</v>
      </c>
      <c r="N12" s="22">
        <v>29.22</v>
      </c>
      <c r="O12" s="22">
        <v>2.38</v>
      </c>
      <c r="P12" s="22">
        <v>29.45</v>
      </c>
      <c r="Q12" s="22">
        <v>2.39</v>
      </c>
      <c r="R12" s="22">
        <f t="shared" si="2"/>
        <v>29.671999999999997</v>
      </c>
      <c r="S12" s="22">
        <f t="shared" si="0"/>
        <v>2.4180000000000001</v>
      </c>
      <c r="T12" s="22">
        <f t="shared" si="1"/>
        <v>7.6590967915880306</v>
      </c>
      <c r="U12" s="3">
        <f>AVERAGE(uptake_rates_raw!W28:W35)</f>
        <v>265886.52844311378</v>
      </c>
      <c r="V12">
        <v>1314042</v>
      </c>
    </row>
    <row r="13" spans="1:22" x14ac:dyDescent="0.3">
      <c r="A13" s="19" t="s">
        <v>68</v>
      </c>
      <c r="B13" s="24" t="s">
        <v>6</v>
      </c>
      <c r="C13" s="24" t="s">
        <v>169</v>
      </c>
      <c r="D13" s="24" t="s">
        <v>170</v>
      </c>
      <c r="E13" s="24">
        <v>60</v>
      </c>
      <c r="F13" s="22">
        <v>0</v>
      </c>
      <c r="G13" s="22">
        <v>0.49</v>
      </c>
      <c r="H13" s="22">
        <v>36.979999999999997</v>
      </c>
      <c r="I13" s="22">
        <v>2.4900000000000002</v>
      </c>
      <c r="J13" s="22">
        <v>34.07</v>
      </c>
      <c r="K13" s="22">
        <v>2.11</v>
      </c>
      <c r="L13" s="22">
        <v>34.86</v>
      </c>
      <c r="M13" s="22">
        <v>2.09</v>
      </c>
      <c r="N13" s="22">
        <v>34.85</v>
      </c>
      <c r="O13" s="22">
        <v>2.0699999999999998</v>
      </c>
      <c r="P13" s="22">
        <v>34.14</v>
      </c>
      <c r="Q13" s="22">
        <v>2.06</v>
      </c>
      <c r="R13" s="22">
        <f t="shared" si="2"/>
        <v>34.979999999999997</v>
      </c>
      <c r="S13" s="22">
        <f t="shared" si="0"/>
        <v>2.1640000000000001</v>
      </c>
      <c r="T13" s="22">
        <f t="shared" si="1"/>
        <v>5.6963922241280738</v>
      </c>
      <c r="U13" s="3">
        <f>AVERAGE(uptake_rates_raw!W36:W43)</f>
        <v>263654.78443113773</v>
      </c>
      <c r="V13">
        <v>1119560</v>
      </c>
    </row>
    <row r="14" spans="1:22" x14ac:dyDescent="0.3">
      <c r="A14" s="19" t="s">
        <v>45</v>
      </c>
      <c r="B14" s="24" t="s">
        <v>23</v>
      </c>
      <c r="C14" s="24" t="s">
        <v>171</v>
      </c>
      <c r="D14" s="24" t="s">
        <v>170</v>
      </c>
      <c r="E14" s="24">
        <v>30</v>
      </c>
      <c r="F14" s="22">
        <v>0</v>
      </c>
      <c r="G14" s="22">
        <v>0.49</v>
      </c>
      <c r="H14" s="22">
        <v>25.21</v>
      </c>
      <c r="I14" s="22">
        <v>2.06</v>
      </c>
      <c r="J14" s="22">
        <v>24.31</v>
      </c>
      <c r="K14" s="22">
        <v>1.88</v>
      </c>
      <c r="L14" s="22">
        <v>24.29</v>
      </c>
      <c r="M14" s="22">
        <v>1.88</v>
      </c>
      <c r="N14" s="22">
        <v>24.27</v>
      </c>
      <c r="O14" s="22">
        <v>1.88</v>
      </c>
      <c r="P14" s="22">
        <v>24.24</v>
      </c>
      <c r="Q14" s="22">
        <v>1.86</v>
      </c>
      <c r="R14" s="22">
        <f t="shared" si="2"/>
        <v>24.463999999999999</v>
      </c>
      <c r="S14" s="22">
        <f t="shared" si="0"/>
        <v>1.9120000000000001</v>
      </c>
      <c r="T14" s="22">
        <f t="shared" si="1"/>
        <v>7.3255657292347953</v>
      </c>
      <c r="U14" s="3">
        <f>AVERAGE(uptake_rates_raw!W44:W49)</f>
        <v>290977.04590818362</v>
      </c>
      <c r="V14">
        <v>1557094</v>
      </c>
    </row>
    <row r="15" spans="1:22" x14ac:dyDescent="0.3">
      <c r="A15" s="19" t="s">
        <v>46</v>
      </c>
      <c r="B15" s="24" t="s">
        <v>23</v>
      </c>
      <c r="C15" s="24" t="s">
        <v>171</v>
      </c>
      <c r="D15" s="24" t="s">
        <v>170</v>
      </c>
      <c r="E15" s="24">
        <v>30</v>
      </c>
      <c r="F15" s="22">
        <v>0</v>
      </c>
      <c r="G15" s="22">
        <v>0.49</v>
      </c>
      <c r="H15" s="22">
        <v>5.64</v>
      </c>
      <c r="I15" s="22">
        <v>0.32</v>
      </c>
      <c r="J15" s="22">
        <v>5.69</v>
      </c>
      <c r="K15" s="22">
        <v>0.32</v>
      </c>
      <c r="L15" s="22" t="s">
        <v>40</v>
      </c>
      <c r="M15" s="22" t="s">
        <v>40</v>
      </c>
      <c r="N15" s="22" t="s">
        <v>40</v>
      </c>
      <c r="O15" s="22" t="s">
        <v>40</v>
      </c>
      <c r="P15" s="22" t="s">
        <v>40</v>
      </c>
      <c r="Q15" s="22" t="s">
        <v>40</v>
      </c>
      <c r="R15" s="22">
        <f t="shared" si="2"/>
        <v>5.665</v>
      </c>
      <c r="S15" s="22">
        <f t="shared" si="0"/>
        <v>0.32</v>
      </c>
      <c r="T15" s="22">
        <f t="shared" si="1"/>
        <v>5.1587202118270081</v>
      </c>
      <c r="U15" s="3">
        <f>AVERAGE(uptake_rates_raw!W50:W55)</f>
        <v>257314.37125748501</v>
      </c>
      <c r="V15">
        <v>1955639</v>
      </c>
    </row>
    <row r="16" spans="1:22" x14ac:dyDescent="0.3">
      <c r="A16" s="19" t="s">
        <v>47</v>
      </c>
      <c r="B16" s="24" t="s">
        <v>23</v>
      </c>
      <c r="C16" s="24" t="s">
        <v>171</v>
      </c>
      <c r="D16" s="24" t="s">
        <v>170</v>
      </c>
      <c r="E16" s="24">
        <v>30</v>
      </c>
      <c r="F16" s="22">
        <v>0</v>
      </c>
      <c r="G16" s="22">
        <v>0.49</v>
      </c>
      <c r="H16" s="22">
        <v>25.62</v>
      </c>
      <c r="I16" s="22">
        <v>0.89</v>
      </c>
      <c r="J16" s="22">
        <v>26.87</v>
      </c>
      <c r="K16" s="22">
        <v>0.9</v>
      </c>
      <c r="L16" s="22">
        <v>25.48</v>
      </c>
      <c r="M16" s="22">
        <v>0.86</v>
      </c>
      <c r="N16" s="22">
        <v>25.14</v>
      </c>
      <c r="O16" s="22">
        <v>0.84</v>
      </c>
      <c r="P16" s="22">
        <v>25.06</v>
      </c>
      <c r="Q16" s="22">
        <v>0.84</v>
      </c>
      <c r="R16" s="22">
        <f t="shared" si="2"/>
        <v>25.633999999999997</v>
      </c>
      <c r="S16" s="22">
        <f t="shared" si="0"/>
        <v>0.86599999999999999</v>
      </c>
      <c r="T16" s="22">
        <f t="shared" si="1"/>
        <v>2.8883256612311774</v>
      </c>
      <c r="U16" s="3">
        <f>AVERAGE(uptake_rates_raw!W56:W61)</f>
        <v>287501.99600798404</v>
      </c>
      <c r="V16">
        <v>2241211</v>
      </c>
    </row>
    <row r="17" spans="1:22" x14ac:dyDescent="0.3">
      <c r="A17" s="19" t="s">
        <v>48</v>
      </c>
      <c r="B17" s="24" t="s">
        <v>23</v>
      </c>
      <c r="C17" s="24" t="s">
        <v>171</v>
      </c>
      <c r="D17" s="24" t="s">
        <v>170</v>
      </c>
      <c r="E17" s="24">
        <v>60</v>
      </c>
      <c r="F17" s="22">
        <v>0</v>
      </c>
      <c r="G17" s="22">
        <v>0.49</v>
      </c>
      <c r="H17" s="22">
        <v>20.07</v>
      </c>
      <c r="I17" s="22">
        <v>2.27</v>
      </c>
      <c r="J17" s="22">
        <v>20.37</v>
      </c>
      <c r="K17" s="22">
        <v>2.2400000000000002</v>
      </c>
      <c r="L17" s="22">
        <v>20.45</v>
      </c>
      <c r="M17" s="22">
        <v>2.2999999999999998</v>
      </c>
      <c r="N17" s="22">
        <v>20.27</v>
      </c>
      <c r="O17" s="22">
        <v>2.21</v>
      </c>
      <c r="P17" s="22">
        <v>20.61</v>
      </c>
      <c r="Q17" s="22">
        <v>2.2799999999999998</v>
      </c>
      <c r="R17" s="22">
        <f t="shared" si="2"/>
        <v>20.353999999999999</v>
      </c>
      <c r="S17" s="22">
        <f t="shared" si="0"/>
        <v>2.2599999999999998</v>
      </c>
      <c r="T17" s="22">
        <f t="shared" si="1"/>
        <v>10.613468605679472</v>
      </c>
      <c r="U17" s="3">
        <f>AVERAGE(uptake_rates_raw!W62:W69)</f>
        <v>272574.54191616771</v>
      </c>
      <c r="V17">
        <v>2179579</v>
      </c>
    </row>
    <row r="18" spans="1:22" x14ac:dyDescent="0.3">
      <c r="A18" s="19" t="s">
        <v>49</v>
      </c>
      <c r="B18" s="24" t="s">
        <v>23</v>
      </c>
      <c r="C18" s="24" t="s">
        <v>171</v>
      </c>
      <c r="D18" s="24" t="s">
        <v>170</v>
      </c>
      <c r="E18" s="24">
        <v>60</v>
      </c>
      <c r="F18" s="22">
        <v>0</v>
      </c>
      <c r="G18" s="22">
        <v>0.49</v>
      </c>
      <c r="H18" s="22">
        <v>11.55</v>
      </c>
      <c r="I18" s="22">
        <v>2.04</v>
      </c>
      <c r="J18" s="22">
        <v>10.86</v>
      </c>
      <c r="K18" s="22">
        <v>1.94</v>
      </c>
      <c r="L18" s="22" t="s">
        <v>40</v>
      </c>
      <c r="M18" s="22" t="s">
        <v>40</v>
      </c>
      <c r="N18" s="22" t="s">
        <v>40</v>
      </c>
      <c r="O18" s="22" t="s">
        <v>40</v>
      </c>
      <c r="P18" s="22" t="s">
        <v>40</v>
      </c>
      <c r="Q18" s="22" t="s">
        <v>40</v>
      </c>
      <c r="R18" s="22">
        <f t="shared" si="2"/>
        <v>11.205</v>
      </c>
      <c r="S18" s="22">
        <f t="shared" si="0"/>
        <v>1.99</v>
      </c>
      <c r="T18" s="22">
        <f t="shared" si="1"/>
        <v>17.269928603302098</v>
      </c>
      <c r="U18" s="3">
        <f>AVERAGE(uptake_rates_raw!W70:W77)</f>
        <v>216228.06586826348</v>
      </c>
      <c r="V18">
        <v>2163130</v>
      </c>
    </row>
    <row r="19" spans="1:22" x14ac:dyDescent="0.3">
      <c r="A19" s="19" t="s">
        <v>50</v>
      </c>
      <c r="B19" s="24" t="s">
        <v>23</v>
      </c>
      <c r="C19" s="24" t="s">
        <v>171</v>
      </c>
      <c r="D19" s="24" t="s">
        <v>170</v>
      </c>
      <c r="E19" s="24">
        <v>60</v>
      </c>
      <c r="F19" s="22">
        <v>0</v>
      </c>
      <c r="G19" s="22">
        <v>0.49</v>
      </c>
      <c r="H19" s="22">
        <v>16.63</v>
      </c>
      <c r="I19" s="22">
        <v>1.1399999999999999</v>
      </c>
      <c r="J19" s="22">
        <v>16.53</v>
      </c>
      <c r="K19" s="22">
        <v>1.1000000000000001</v>
      </c>
      <c r="L19" s="22">
        <v>16.66</v>
      </c>
      <c r="M19" s="22">
        <v>1.1000000000000001</v>
      </c>
      <c r="N19" s="22">
        <v>16.809999999999999</v>
      </c>
      <c r="O19" s="22">
        <v>1.1200000000000001</v>
      </c>
      <c r="P19" s="22">
        <v>16.59</v>
      </c>
      <c r="Q19" s="22">
        <v>1.0900000000000001</v>
      </c>
      <c r="R19" s="22">
        <f t="shared" si="2"/>
        <v>16.643999999999998</v>
      </c>
      <c r="S19" s="22">
        <f t="shared" si="0"/>
        <v>1.1100000000000001</v>
      </c>
      <c r="T19" s="22">
        <f t="shared" si="1"/>
        <v>6.1790699351117526</v>
      </c>
      <c r="U19" s="3">
        <f>AVERAGE(uptake_rates_raw!W78,uptake_rates_raw!W80:W85)</f>
        <v>274154.49786141998</v>
      </c>
      <c r="V19">
        <v>2317080</v>
      </c>
    </row>
    <row r="20" spans="1:22" x14ac:dyDescent="0.3">
      <c r="A20" s="19" t="s">
        <v>145</v>
      </c>
      <c r="B20" s="24" t="s">
        <v>101</v>
      </c>
      <c r="C20" s="24" t="s">
        <v>169</v>
      </c>
      <c r="D20" s="24" t="s">
        <v>172</v>
      </c>
      <c r="E20" s="24">
        <v>30</v>
      </c>
      <c r="F20" s="22">
        <v>0</v>
      </c>
      <c r="G20" s="22">
        <v>0.49</v>
      </c>
      <c r="H20" s="22">
        <v>35.520000000000003</v>
      </c>
      <c r="I20" s="22">
        <v>1.48</v>
      </c>
      <c r="J20" s="22">
        <v>35.700000000000003</v>
      </c>
      <c r="K20" s="22">
        <v>1.5</v>
      </c>
      <c r="L20" s="22">
        <v>35.69</v>
      </c>
      <c r="M20" s="22">
        <v>1.48</v>
      </c>
      <c r="N20" s="22">
        <v>34.549999999999997</v>
      </c>
      <c r="O20" s="22">
        <v>1.46</v>
      </c>
      <c r="P20" s="22">
        <v>27.64</v>
      </c>
      <c r="Q20" s="22">
        <v>1.19</v>
      </c>
      <c r="R20" s="22">
        <f t="shared" si="2"/>
        <v>33.819999999999993</v>
      </c>
      <c r="S20" s="22">
        <f t="shared" si="0"/>
        <v>1.4219999999999999</v>
      </c>
      <c r="T20" s="22">
        <f t="shared" si="1"/>
        <v>3.7146126552335899</v>
      </c>
      <c r="U20" s="3">
        <f>AVERAGE(uptake_rates_raw!W128:W133)</f>
        <v>17423.153692614771</v>
      </c>
      <c r="V20">
        <v>985075</v>
      </c>
    </row>
    <row r="21" spans="1:22" x14ac:dyDescent="0.3">
      <c r="A21" s="19" t="s">
        <v>147</v>
      </c>
      <c r="B21" s="24" t="s">
        <v>101</v>
      </c>
      <c r="C21" s="24" t="s">
        <v>169</v>
      </c>
      <c r="D21" s="24" t="s">
        <v>172</v>
      </c>
      <c r="E21" s="24">
        <v>30</v>
      </c>
      <c r="F21" s="22">
        <v>0</v>
      </c>
      <c r="G21" s="22">
        <v>0.49</v>
      </c>
      <c r="H21" s="22">
        <v>16.07</v>
      </c>
      <c r="I21" s="22">
        <v>0.76</v>
      </c>
      <c r="J21" s="22">
        <v>15.61</v>
      </c>
      <c r="K21" s="22">
        <v>0.71</v>
      </c>
      <c r="L21" s="22">
        <v>15.03</v>
      </c>
      <c r="M21" s="22">
        <v>0.67</v>
      </c>
      <c r="N21" s="22">
        <v>14.92</v>
      </c>
      <c r="O21" s="22">
        <v>0.67</v>
      </c>
      <c r="P21" s="22">
        <v>14.6</v>
      </c>
      <c r="Q21" s="22">
        <v>0.66</v>
      </c>
      <c r="R21" s="22">
        <f t="shared" si="2"/>
        <v>15.246</v>
      </c>
      <c r="S21" s="22">
        <f t="shared" si="0"/>
        <v>0.69400000000000006</v>
      </c>
      <c r="T21" s="22">
        <f t="shared" si="1"/>
        <v>4.062013642922734</v>
      </c>
      <c r="U21" s="3">
        <f>AVERAGE(uptake_rates_raw!W134:W139)</f>
        <v>16873.253493013974</v>
      </c>
      <c r="V21">
        <v>993637</v>
      </c>
    </row>
    <row r="22" spans="1:22" x14ac:dyDescent="0.3">
      <c r="A22" s="19" t="s">
        <v>148</v>
      </c>
      <c r="B22" s="24" t="s">
        <v>101</v>
      </c>
      <c r="C22" s="24" t="s">
        <v>169</v>
      </c>
      <c r="D22" s="24" t="s">
        <v>172</v>
      </c>
      <c r="E22" s="24">
        <v>30</v>
      </c>
      <c r="F22" s="22">
        <v>0</v>
      </c>
      <c r="G22" s="22">
        <v>0.49</v>
      </c>
      <c r="H22" s="22">
        <v>14.29</v>
      </c>
      <c r="I22" s="22">
        <v>0.65</v>
      </c>
      <c r="J22" s="22">
        <v>14.16</v>
      </c>
      <c r="K22" s="22">
        <v>0.63</v>
      </c>
      <c r="L22" s="22">
        <v>14.07</v>
      </c>
      <c r="M22" s="22">
        <v>0.63</v>
      </c>
      <c r="N22" s="22">
        <v>14.21</v>
      </c>
      <c r="O22" s="22">
        <v>0.64</v>
      </c>
      <c r="P22" s="22">
        <v>14.11</v>
      </c>
      <c r="Q22" s="22">
        <v>0.63</v>
      </c>
      <c r="R22" s="22">
        <f t="shared" si="2"/>
        <v>14.168000000000001</v>
      </c>
      <c r="S22" s="22">
        <f t="shared" si="0"/>
        <v>0.63600000000000001</v>
      </c>
      <c r="T22" s="22">
        <f t="shared" si="1"/>
        <v>3.9989892715979671</v>
      </c>
      <c r="U22" s="3">
        <f>AVERAGE(uptake_rates_raw!W140:W145)</f>
        <v>17713.572854291418</v>
      </c>
      <c r="V22">
        <v>1076705</v>
      </c>
    </row>
    <row r="23" spans="1:22" x14ac:dyDescent="0.3">
      <c r="A23" s="19" t="s">
        <v>149</v>
      </c>
      <c r="B23" s="24" t="s">
        <v>101</v>
      </c>
      <c r="C23" s="24" t="s">
        <v>169</v>
      </c>
      <c r="D23" s="24" t="s">
        <v>172</v>
      </c>
      <c r="E23" s="24">
        <v>60</v>
      </c>
      <c r="F23" s="22">
        <v>0</v>
      </c>
      <c r="G23" s="22">
        <v>0.49</v>
      </c>
      <c r="H23" s="22">
        <v>18.899999999999999</v>
      </c>
      <c r="I23" s="22">
        <v>1.3</v>
      </c>
      <c r="J23" s="22">
        <v>18.55</v>
      </c>
      <c r="K23" s="22">
        <v>1.27</v>
      </c>
      <c r="L23" s="22">
        <v>18.55</v>
      </c>
      <c r="M23" s="22">
        <v>1.26</v>
      </c>
      <c r="N23" s="22">
        <v>18.62</v>
      </c>
      <c r="O23" s="22">
        <v>1.26</v>
      </c>
      <c r="P23" s="22">
        <v>18.809999999999999</v>
      </c>
      <c r="Q23" s="22">
        <v>1.32</v>
      </c>
      <c r="R23" s="22">
        <f t="shared" si="2"/>
        <v>18.686</v>
      </c>
      <c r="S23" s="22">
        <f t="shared" si="0"/>
        <v>1.282</v>
      </c>
      <c r="T23" s="22">
        <f t="shared" si="1"/>
        <v>6.370751364658032</v>
      </c>
      <c r="U23" s="3">
        <f>AVERAGE(uptake_rates_raw!W146:W153)</f>
        <v>19322.72155688623</v>
      </c>
      <c r="V23">
        <v>1147028</v>
      </c>
    </row>
    <row r="24" spans="1:22" x14ac:dyDescent="0.3">
      <c r="A24" s="19" t="s">
        <v>150</v>
      </c>
      <c r="B24" s="24" t="s">
        <v>101</v>
      </c>
      <c r="C24" s="24" t="s">
        <v>169</v>
      </c>
      <c r="D24" s="24" t="s">
        <v>172</v>
      </c>
      <c r="E24" s="24">
        <v>60</v>
      </c>
      <c r="F24" s="22">
        <v>0</v>
      </c>
      <c r="G24" s="22">
        <v>0.49</v>
      </c>
      <c r="H24" s="22">
        <v>6.61</v>
      </c>
      <c r="I24" s="22">
        <v>0.49</v>
      </c>
      <c r="J24" s="22">
        <v>6.49</v>
      </c>
      <c r="K24" s="22">
        <v>0.47</v>
      </c>
      <c r="L24" s="22">
        <v>6.45</v>
      </c>
      <c r="M24" s="22">
        <v>0.46</v>
      </c>
      <c r="N24" s="22">
        <v>6.32</v>
      </c>
      <c r="O24" s="22">
        <v>0.44</v>
      </c>
      <c r="P24" s="22">
        <v>6.44</v>
      </c>
      <c r="Q24" s="22">
        <v>0.45</v>
      </c>
      <c r="R24" s="22">
        <f t="shared" si="2"/>
        <v>6.4620000000000006</v>
      </c>
      <c r="S24" s="22">
        <f t="shared" si="0"/>
        <v>0.46200000000000002</v>
      </c>
      <c r="T24" s="22">
        <f t="shared" si="1"/>
        <v>6.6594893221912717</v>
      </c>
      <c r="U24" s="3">
        <f>AVERAGE(uptake_rates_raw!W154:W161)</f>
        <v>24104.181137724554</v>
      </c>
      <c r="V24">
        <v>1113526</v>
      </c>
    </row>
    <row r="25" spans="1:22" x14ac:dyDescent="0.3">
      <c r="A25" s="19" t="s">
        <v>151</v>
      </c>
      <c r="B25" s="24" t="s">
        <v>101</v>
      </c>
      <c r="C25" s="24" t="s">
        <v>169</v>
      </c>
      <c r="D25" s="24" t="s">
        <v>172</v>
      </c>
      <c r="E25" s="24">
        <v>60</v>
      </c>
      <c r="F25" s="22">
        <v>0</v>
      </c>
      <c r="G25" s="22">
        <v>0.49</v>
      </c>
      <c r="H25" s="22">
        <v>26.77</v>
      </c>
      <c r="I25" s="22">
        <v>1.62</v>
      </c>
      <c r="J25" s="22">
        <v>25.89</v>
      </c>
      <c r="K25" s="22">
        <v>1.46</v>
      </c>
      <c r="L25" s="22">
        <v>25.55</v>
      </c>
      <c r="M25" s="22">
        <v>1.43</v>
      </c>
      <c r="N25" s="22">
        <v>25.51</v>
      </c>
      <c r="O25" s="22">
        <v>1.42</v>
      </c>
      <c r="P25" s="22">
        <v>25.64</v>
      </c>
      <c r="Q25" s="22">
        <v>1.44</v>
      </c>
      <c r="R25" s="22">
        <f t="shared" si="2"/>
        <v>25.872000000000003</v>
      </c>
      <c r="S25" s="22">
        <f t="shared" si="0"/>
        <v>1.4739999999999998</v>
      </c>
      <c r="T25" s="22">
        <f t="shared" si="1"/>
        <v>5.2072789115646234</v>
      </c>
      <c r="U25" s="3">
        <f>AVERAGE(uptake_rates_raw!W162:W169)</f>
        <v>24399.926646706586</v>
      </c>
      <c r="V25">
        <v>1150848</v>
      </c>
    </row>
    <row r="26" spans="1:22" x14ac:dyDescent="0.3">
      <c r="A26" s="20" t="s">
        <v>152</v>
      </c>
      <c r="B26" s="25" t="s">
        <v>75</v>
      </c>
      <c r="C26" s="24" t="s">
        <v>171</v>
      </c>
      <c r="D26" s="24" t="s">
        <v>172</v>
      </c>
      <c r="E26" s="24">
        <v>30</v>
      </c>
      <c r="F26" s="23">
        <v>0</v>
      </c>
      <c r="G26" s="22">
        <v>0.49</v>
      </c>
      <c r="H26" s="22">
        <v>22.8</v>
      </c>
      <c r="I26" s="22">
        <v>0.33</v>
      </c>
      <c r="J26" s="22">
        <v>22.72</v>
      </c>
      <c r="K26" s="22">
        <v>0.33</v>
      </c>
      <c r="L26" s="22">
        <v>22.94</v>
      </c>
      <c r="M26" s="22">
        <v>0.35</v>
      </c>
      <c r="N26" s="22">
        <v>22.87</v>
      </c>
      <c r="O26" s="22">
        <v>0.34</v>
      </c>
      <c r="P26" s="22">
        <v>22.8</v>
      </c>
      <c r="Q26" s="22">
        <v>0.33</v>
      </c>
      <c r="R26" s="22">
        <f t="shared" si="2"/>
        <v>22.826000000000001</v>
      </c>
      <c r="S26" s="22">
        <f t="shared" si="0"/>
        <v>0.33600000000000002</v>
      </c>
      <c r="T26" s="22">
        <f t="shared" si="1"/>
        <v>0.98200560764041001</v>
      </c>
      <c r="U26" s="3">
        <f>AVERAGE(uptake_rates_raw!W170:W175)</f>
        <v>281728.54291417164</v>
      </c>
      <c r="V26">
        <v>1099312</v>
      </c>
    </row>
    <row r="27" spans="1:22" x14ac:dyDescent="0.3">
      <c r="A27" s="20" t="s">
        <v>153</v>
      </c>
      <c r="B27" s="25" t="s">
        <v>75</v>
      </c>
      <c r="C27" s="24" t="s">
        <v>171</v>
      </c>
      <c r="D27" s="24" t="s">
        <v>172</v>
      </c>
      <c r="E27" s="24">
        <v>30</v>
      </c>
      <c r="F27" s="23">
        <v>0</v>
      </c>
      <c r="G27" s="22">
        <v>0.49</v>
      </c>
      <c r="H27" s="22">
        <v>12.8</v>
      </c>
      <c r="I27" s="22">
        <v>0.35</v>
      </c>
      <c r="J27" s="22">
        <v>12.76</v>
      </c>
      <c r="K27" s="22">
        <v>0.32</v>
      </c>
      <c r="L27" s="22">
        <v>12.43</v>
      </c>
      <c r="M27" s="22">
        <v>0.31</v>
      </c>
      <c r="N27" s="22">
        <v>12.58</v>
      </c>
      <c r="O27" s="22">
        <v>0.32</v>
      </c>
      <c r="P27" s="22">
        <v>12.56</v>
      </c>
      <c r="Q27" s="22">
        <v>0.33</v>
      </c>
      <c r="R27" s="22">
        <f t="shared" si="2"/>
        <v>12.626000000000001</v>
      </c>
      <c r="S27" s="22">
        <f t="shared" si="0"/>
        <v>0.32600000000000001</v>
      </c>
      <c r="T27" s="22">
        <f t="shared" si="1"/>
        <v>2.0919737050530651</v>
      </c>
      <c r="U27" s="3">
        <f>AVERAGE(uptake_rates_raw!W176:W181)</f>
        <v>296543.91217564867</v>
      </c>
      <c r="V27">
        <v>1054748</v>
      </c>
    </row>
    <row r="28" spans="1:22" x14ac:dyDescent="0.3">
      <c r="A28" s="20" t="s">
        <v>154</v>
      </c>
      <c r="B28" s="25" t="s">
        <v>75</v>
      </c>
      <c r="C28" s="24" t="s">
        <v>171</v>
      </c>
      <c r="D28" s="24" t="s">
        <v>172</v>
      </c>
      <c r="E28" s="24">
        <v>30</v>
      </c>
      <c r="F28" s="23">
        <v>0</v>
      </c>
      <c r="G28" s="22">
        <v>0.49</v>
      </c>
      <c r="H28" s="22">
        <v>13.53</v>
      </c>
      <c r="I28" s="22">
        <v>0.15</v>
      </c>
      <c r="J28" s="22">
        <v>12.78</v>
      </c>
      <c r="K28" s="22">
        <v>0.12</v>
      </c>
      <c r="L28" s="22">
        <v>12.95</v>
      </c>
      <c r="M28" s="22">
        <v>0.12</v>
      </c>
      <c r="N28" s="22">
        <v>13.01</v>
      </c>
      <c r="O28" s="22">
        <v>0.13</v>
      </c>
      <c r="P28" s="22">
        <v>12.99</v>
      </c>
      <c r="Q28" s="22">
        <v>0.13</v>
      </c>
      <c r="R28" s="22">
        <f t="shared" si="2"/>
        <v>13.051999999999998</v>
      </c>
      <c r="S28" s="22">
        <f t="shared" si="0"/>
        <v>0.13</v>
      </c>
      <c r="T28" s="22">
        <f>(S28/R28*100)-G28</f>
        <v>0.5060159362549802</v>
      </c>
      <c r="U28" s="3">
        <f>AVERAGE(uptake_rates_raw!W182:W187)</f>
        <v>413356.2874251497</v>
      </c>
      <c r="V28">
        <v>1044290</v>
      </c>
    </row>
    <row r="29" spans="1:22" x14ac:dyDescent="0.3">
      <c r="A29" s="20" t="s">
        <v>155</v>
      </c>
      <c r="B29" s="25" t="s">
        <v>75</v>
      </c>
      <c r="C29" s="24" t="s">
        <v>171</v>
      </c>
      <c r="D29" s="24" t="s">
        <v>172</v>
      </c>
      <c r="E29" s="24">
        <v>60</v>
      </c>
      <c r="F29" s="23">
        <v>0</v>
      </c>
      <c r="G29" s="22">
        <v>0.49</v>
      </c>
      <c r="H29" s="22">
        <v>25.37</v>
      </c>
      <c r="I29" s="22">
        <v>0.44</v>
      </c>
      <c r="J29" s="22">
        <v>24.43</v>
      </c>
      <c r="K29" s="22">
        <v>0.4</v>
      </c>
      <c r="L29" s="22">
        <v>24.5</v>
      </c>
      <c r="M29" s="22">
        <v>0.39</v>
      </c>
      <c r="N29" s="22">
        <v>24.74</v>
      </c>
      <c r="O29" s="22">
        <v>0.4</v>
      </c>
      <c r="P29" s="22">
        <v>24.65</v>
      </c>
      <c r="Q29" s="22">
        <v>0.38</v>
      </c>
      <c r="R29" s="22">
        <f t="shared" si="2"/>
        <v>24.738</v>
      </c>
      <c r="S29" s="22">
        <f t="shared" si="0"/>
        <v>0.40199999999999997</v>
      </c>
      <c r="T29" s="22">
        <f t="shared" si="1"/>
        <v>1.1350303177298082</v>
      </c>
      <c r="U29" s="3">
        <f>AVERAGE(uptake_rates_raw!W188:W195)</f>
        <v>464982.89371257485</v>
      </c>
      <c r="V29">
        <v>1085642</v>
      </c>
    </row>
    <row r="30" spans="1:22" x14ac:dyDescent="0.3">
      <c r="A30" s="20" t="s">
        <v>156</v>
      </c>
      <c r="B30" s="25" t="s">
        <v>75</v>
      </c>
      <c r="C30" s="24" t="s">
        <v>171</v>
      </c>
      <c r="D30" s="24" t="s">
        <v>172</v>
      </c>
      <c r="E30" s="24">
        <v>60</v>
      </c>
      <c r="F30" s="23">
        <v>0</v>
      </c>
      <c r="G30" s="22">
        <v>0.49</v>
      </c>
      <c r="H30" s="22">
        <v>5.01</v>
      </c>
      <c r="I30" s="22">
        <v>0.14000000000000001</v>
      </c>
      <c r="J30" s="22">
        <v>4.8099999999999996</v>
      </c>
      <c r="K30" s="22">
        <v>0.12</v>
      </c>
      <c r="L30" s="22">
        <v>4.95</v>
      </c>
      <c r="M30" s="22">
        <v>0.13</v>
      </c>
      <c r="N30" s="22">
        <v>4.88</v>
      </c>
      <c r="O30" s="22">
        <v>0.13</v>
      </c>
      <c r="P30" s="22">
        <v>4.66</v>
      </c>
      <c r="Q30" s="22">
        <v>0.13</v>
      </c>
      <c r="R30" s="22">
        <f t="shared" si="2"/>
        <v>4.8620000000000001</v>
      </c>
      <c r="S30" s="22">
        <f t="shared" si="0"/>
        <v>0.13</v>
      </c>
      <c r="T30" s="22">
        <f t="shared" si="1"/>
        <v>2.1837967914438501</v>
      </c>
      <c r="U30" s="3">
        <f>AVERAGE(uptake_rates_raw!W196:W203)</f>
        <v>356611.84880239522</v>
      </c>
      <c r="V30">
        <v>805625</v>
      </c>
    </row>
    <row r="31" spans="1:22" x14ac:dyDescent="0.3">
      <c r="A31" s="20" t="s">
        <v>157</v>
      </c>
      <c r="B31" s="25" t="s">
        <v>75</v>
      </c>
      <c r="C31" s="24" t="s">
        <v>171</v>
      </c>
      <c r="D31" s="24" t="s">
        <v>172</v>
      </c>
      <c r="E31" s="24">
        <v>60</v>
      </c>
      <c r="F31" s="23">
        <v>0</v>
      </c>
      <c r="G31" s="22">
        <v>0.49</v>
      </c>
      <c r="H31" s="22">
        <v>4.42</v>
      </c>
      <c r="I31" s="22">
        <v>0.06</v>
      </c>
      <c r="J31" s="22">
        <v>4.38</v>
      </c>
      <c r="K31" s="22">
        <v>0.06</v>
      </c>
      <c r="L31" s="22">
        <v>4.41</v>
      </c>
      <c r="M31" s="22">
        <v>0.05</v>
      </c>
      <c r="N31" s="22" t="s">
        <v>40</v>
      </c>
      <c r="O31" s="22" t="s">
        <v>40</v>
      </c>
      <c r="P31" s="22" t="s">
        <v>40</v>
      </c>
      <c r="Q31" s="22" t="s">
        <v>40</v>
      </c>
      <c r="R31" s="22">
        <f t="shared" si="2"/>
        <v>4.4033333333333333</v>
      </c>
      <c r="S31" s="22">
        <f t="shared" si="0"/>
        <v>5.6666666666666664E-2</v>
      </c>
      <c r="T31" s="22">
        <f t="shared" si="1"/>
        <v>0.79690386071158215</v>
      </c>
      <c r="U31" s="3">
        <f>AVERAGE(uptake_rates_raw!W204:W211)</f>
        <v>359764.65419161675</v>
      </c>
      <c r="V31">
        <v>911427</v>
      </c>
    </row>
    <row r="32" spans="1:22" x14ac:dyDescent="0.3">
      <c r="A32" s="20" t="s">
        <v>33</v>
      </c>
      <c r="B32" s="25" t="s">
        <v>21</v>
      </c>
      <c r="C32" s="24" t="s">
        <v>169</v>
      </c>
      <c r="D32" s="24" t="s">
        <v>172</v>
      </c>
      <c r="E32" s="24">
        <v>30</v>
      </c>
      <c r="F32" s="23">
        <v>0</v>
      </c>
      <c r="G32" s="22">
        <v>0.49</v>
      </c>
      <c r="H32" s="22">
        <v>37.82</v>
      </c>
      <c r="I32" s="22">
        <v>2.1</v>
      </c>
      <c r="J32" s="22">
        <v>36.67</v>
      </c>
      <c r="K32" s="22">
        <v>1.93</v>
      </c>
      <c r="L32" s="22">
        <v>37.24</v>
      </c>
      <c r="M32" s="22">
        <v>1.98</v>
      </c>
      <c r="N32" s="22">
        <v>36.979999999999997</v>
      </c>
      <c r="O32" s="22">
        <v>1.91</v>
      </c>
      <c r="P32" s="22">
        <v>37.04</v>
      </c>
      <c r="Q32" s="22">
        <v>1.94</v>
      </c>
      <c r="R32" s="22">
        <f t="shared" si="2"/>
        <v>37.15</v>
      </c>
      <c r="S32" s="22">
        <f t="shared" si="0"/>
        <v>1.972</v>
      </c>
      <c r="T32" s="22">
        <f t="shared" si="1"/>
        <v>4.8182099596231494</v>
      </c>
      <c r="U32" s="3">
        <f>AVERAGE(uptake_rates_raw!W86:W87,uptake_rates_raw!W89:W91)</f>
        <v>189271.85628742518</v>
      </c>
      <c r="V32">
        <v>1049158</v>
      </c>
    </row>
    <row r="33" spans="1:22" x14ac:dyDescent="0.3">
      <c r="A33" s="20" t="s">
        <v>34</v>
      </c>
      <c r="B33" s="25" t="s">
        <v>21</v>
      </c>
      <c r="C33" s="24" t="s">
        <v>169</v>
      </c>
      <c r="D33" s="24" t="s">
        <v>172</v>
      </c>
      <c r="E33" s="24">
        <v>30</v>
      </c>
      <c r="F33" s="23">
        <v>0</v>
      </c>
      <c r="G33" s="22">
        <v>0.49</v>
      </c>
      <c r="H33" s="22">
        <v>27.9</v>
      </c>
      <c r="I33" s="22">
        <v>1.39</v>
      </c>
      <c r="J33" s="22">
        <v>27.24</v>
      </c>
      <c r="K33" s="22">
        <v>1.28</v>
      </c>
      <c r="L33" s="22">
        <v>26.75</v>
      </c>
      <c r="M33" s="22">
        <v>1.27</v>
      </c>
      <c r="N33" s="22">
        <v>27.5</v>
      </c>
      <c r="O33" s="22">
        <v>1.31</v>
      </c>
      <c r="P33" s="22">
        <v>27.68</v>
      </c>
      <c r="Q33" s="22">
        <v>1.34</v>
      </c>
      <c r="R33" s="22">
        <f t="shared" si="2"/>
        <v>27.413999999999998</v>
      </c>
      <c r="S33" s="22">
        <f t="shared" si="0"/>
        <v>1.3180000000000001</v>
      </c>
      <c r="T33" s="22">
        <f t="shared" si="1"/>
        <v>4.3177624571386888</v>
      </c>
      <c r="U33" s="3">
        <f>AVERAGE(uptake_rates_raw!W92:W97)</f>
        <v>197682.63473053894</v>
      </c>
      <c r="V33">
        <v>1329509</v>
      </c>
    </row>
    <row r="34" spans="1:22" x14ac:dyDescent="0.3">
      <c r="A34" s="20" t="s">
        <v>35</v>
      </c>
      <c r="B34" s="25" t="s">
        <v>21</v>
      </c>
      <c r="C34" s="24" t="s">
        <v>169</v>
      </c>
      <c r="D34" s="24" t="s">
        <v>172</v>
      </c>
      <c r="E34" s="24">
        <v>30</v>
      </c>
      <c r="F34" s="23">
        <v>0</v>
      </c>
      <c r="G34" s="22">
        <v>0.49</v>
      </c>
      <c r="H34" s="22">
        <v>32.68</v>
      </c>
      <c r="I34" s="22">
        <v>3.1</v>
      </c>
      <c r="J34" s="22">
        <v>31.45</v>
      </c>
      <c r="K34" s="22">
        <v>2.9</v>
      </c>
      <c r="L34" s="22">
        <v>31.18</v>
      </c>
      <c r="M34" s="22">
        <v>2.85</v>
      </c>
      <c r="N34" s="22">
        <v>31.49</v>
      </c>
      <c r="O34" s="22">
        <v>2.92</v>
      </c>
      <c r="P34" s="22">
        <v>31.56</v>
      </c>
      <c r="Q34" s="22">
        <v>2.9</v>
      </c>
      <c r="R34" s="22">
        <f t="shared" si="2"/>
        <v>31.671999999999997</v>
      </c>
      <c r="S34" s="22">
        <f t="shared" si="0"/>
        <v>2.9340000000000002</v>
      </c>
      <c r="T34" s="22">
        <f t="shared" si="1"/>
        <v>8.7737029552917409</v>
      </c>
      <c r="U34" s="3">
        <f>AVERAGE(uptake_rates_raw!W98:W103)</f>
        <v>205179.64071856285</v>
      </c>
      <c r="V34">
        <v>1381605</v>
      </c>
    </row>
    <row r="35" spans="1:22" x14ac:dyDescent="0.3">
      <c r="A35" s="20" t="s">
        <v>36</v>
      </c>
      <c r="B35" s="25" t="s">
        <v>21</v>
      </c>
      <c r="C35" s="24" t="s">
        <v>169</v>
      </c>
      <c r="D35" s="24" t="s">
        <v>172</v>
      </c>
      <c r="E35" s="24">
        <v>60</v>
      </c>
      <c r="F35" s="23">
        <v>0</v>
      </c>
      <c r="G35" s="22">
        <v>0.49</v>
      </c>
      <c r="H35" s="22">
        <v>31.8</v>
      </c>
      <c r="I35" s="22">
        <v>1.64</v>
      </c>
      <c r="J35" s="22">
        <v>31.04</v>
      </c>
      <c r="K35" s="22">
        <v>1.56</v>
      </c>
      <c r="L35" s="22">
        <v>30.89</v>
      </c>
      <c r="M35" s="22">
        <v>1.58</v>
      </c>
      <c r="N35" s="22">
        <v>30.87</v>
      </c>
      <c r="O35" s="22">
        <v>1.51</v>
      </c>
      <c r="P35" s="22">
        <v>31.17</v>
      </c>
      <c r="Q35" s="22">
        <v>1.59</v>
      </c>
      <c r="R35" s="22">
        <f t="shared" si="2"/>
        <v>31.154000000000003</v>
      </c>
      <c r="S35" s="22">
        <f t="shared" si="0"/>
        <v>1.5760000000000001</v>
      </c>
      <c r="T35" s="22">
        <f t="shared" si="1"/>
        <v>4.5687404506644409</v>
      </c>
      <c r="U35" s="3">
        <f>AVERAGE(uptake_rates_raw!W104:W111)</f>
        <v>171410.5613772455</v>
      </c>
      <c r="V35">
        <v>1355414</v>
      </c>
    </row>
    <row r="36" spans="1:22" x14ac:dyDescent="0.3">
      <c r="A36" s="20" t="s">
        <v>37</v>
      </c>
      <c r="B36" s="25" t="s">
        <v>21</v>
      </c>
      <c r="C36" s="24" t="s">
        <v>169</v>
      </c>
      <c r="D36" s="24" t="s">
        <v>172</v>
      </c>
      <c r="E36" s="24">
        <v>60</v>
      </c>
      <c r="F36" s="23">
        <v>0</v>
      </c>
      <c r="G36" s="22">
        <v>0.49</v>
      </c>
      <c r="H36" s="22">
        <v>19.86</v>
      </c>
      <c r="I36" s="22">
        <v>0.63</v>
      </c>
      <c r="J36" s="22">
        <v>19.07</v>
      </c>
      <c r="K36" s="22">
        <v>0.55000000000000004</v>
      </c>
      <c r="L36" s="22">
        <v>18.489999999999998</v>
      </c>
      <c r="M36" s="22">
        <v>0.52</v>
      </c>
      <c r="N36" s="22">
        <v>18.309999999999999</v>
      </c>
      <c r="O36" s="22">
        <v>0.5</v>
      </c>
      <c r="P36" s="22">
        <v>18.72</v>
      </c>
      <c r="Q36" s="22">
        <v>0.53</v>
      </c>
      <c r="R36" s="22">
        <f t="shared" si="2"/>
        <v>18.89</v>
      </c>
      <c r="S36" s="22">
        <f t="shared" si="0"/>
        <v>0.54600000000000004</v>
      </c>
      <c r="T36" s="22">
        <f t="shared" si="1"/>
        <v>2.4004182106934886</v>
      </c>
      <c r="U36" s="3">
        <f>AVERAGE(uptake_rates_raw!W112:W119)</f>
        <v>153956.27544910181</v>
      </c>
      <c r="V36">
        <v>1346229</v>
      </c>
    </row>
    <row r="37" spans="1:22" x14ac:dyDescent="0.3">
      <c r="A37" s="20" t="s">
        <v>38</v>
      </c>
      <c r="B37" s="25" t="s">
        <v>21</v>
      </c>
      <c r="C37" s="24" t="s">
        <v>169</v>
      </c>
      <c r="D37" s="24" t="s">
        <v>172</v>
      </c>
      <c r="E37" s="24">
        <v>60</v>
      </c>
      <c r="F37" s="23">
        <v>0</v>
      </c>
      <c r="G37" s="22">
        <v>0.49</v>
      </c>
      <c r="H37" s="22">
        <v>17.59</v>
      </c>
      <c r="I37" s="22">
        <v>0.26</v>
      </c>
      <c r="J37" s="22">
        <v>15.25</v>
      </c>
      <c r="K37" s="22">
        <v>0.22</v>
      </c>
      <c r="L37" s="22">
        <v>15.12</v>
      </c>
      <c r="M37" s="22">
        <v>0.21</v>
      </c>
      <c r="N37" s="22">
        <v>14.87</v>
      </c>
      <c r="O37" s="22">
        <v>0.22</v>
      </c>
      <c r="P37" s="22" t="s">
        <v>40</v>
      </c>
      <c r="Q37" s="22" t="s">
        <v>40</v>
      </c>
      <c r="R37" s="22">
        <f t="shared" si="2"/>
        <v>15.7075</v>
      </c>
      <c r="S37" s="22">
        <f t="shared" si="0"/>
        <v>0.22749999999999998</v>
      </c>
      <c r="T37" s="22">
        <f t="shared" si="1"/>
        <v>0.95835269775584919</v>
      </c>
      <c r="U37" s="3">
        <f>AVERAGE(uptake_rates_raw!W120:W127)</f>
        <v>168240.66167664671</v>
      </c>
      <c r="V37">
        <v>1364216</v>
      </c>
    </row>
    <row r="38" spans="1:22" x14ac:dyDescent="0.3">
      <c r="A38" s="20" t="s">
        <v>52</v>
      </c>
      <c r="B38" s="25" t="s">
        <v>24</v>
      </c>
      <c r="C38" s="24" t="s">
        <v>169</v>
      </c>
      <c r="D38" s="24" t="s">
        <v>172</v>
      </c>
      <c r="E38" s="24">
        <v>30</v>
      </c>
      <c r="F38" s="23">
        <v>0</v>
      </c>
      <c r="G38" s="22">
        <v>0.49</v>
      </c>
      <c r="H38" s="22">
        <v>29.75</v>
      </c>
      <c r="I38" s="22">
        <v>1.99</v>
      </c>
      <c r="J38" s="22">
        <v>28.98</v>
      </c>
      <c r="K38" s="22">
        <v>1.86</v>
      </c>
      <c r="L38" s="22">
        <v>29.21</v>
      </c>
      <c r="M38" s="22">
        <v>1.88</v>
      </c>
      <c r="N38" s="22">
        <v>29.3</v>
      </c>
      <c r="O38" s="22">
        <v>1.9</v>
      </c>
      <c r="P38" s="22">
        <v>29.37</v>
      </c>
      <c r="Q38" s="22">
        <v>1.9</v>
      </c>
      <c r="R38" s="22">
        <f t="shared" si="2"/>
        <v>29.321999999999996</v>
      </c>
      <c r="S38" s="22">
        <f t="shared" si="0"/>
        <v>1.9060000000000001</v>
      </c>
      <c r="T38" s="22">
        <f t="shared" si="1"/>
        <v>6.0102387285996874</v>
      </c>
      <c r="U38" t="s">
        <v>40</v>
      </c>
      <c r="V38" t="s">
        <v>40</v>
      </c>
    </row>
    <row r="39" spans="1:22" x14ac:dyDescent="0.3">
      <c r="A39" s="20" t="s">
        <v>53</v>
      </c>
      <c r="B39" s="25" t="s">
        <v>24</v>
      </c>
      <c r="C39" s="24" t="s">
        <v>169</v>
      </c>
      <c r="D39" s="24" t="s">
        <v>172</v>
      </c>
      <c r="E39" s="24">
        <v>30</v>
      </c>
      <c r="F39" s="23">
        <v>0</v>
      </c>
      <c r="G39" s="22">
        <v>0.49</v>
      </c>
      <c r="H39" s="22">
        <v>11.05</v>
      </c>
      <c r="I39" s="22">
        <v>0.35</v>
      </c>
      <c r="J39" s="22">
        <v>10.7</v>
      </c>
      <c r="K39" s="22">
        <v>0.33</v>
      </c>
      <c r="L39" s="22">
        <v>10.55</v>
      </c>
      <c r="M39" s="22">
        <v>0.32</v>
      </c>
      <c r="N39" s="22">
        <v>10.42</v>
      </c>
      <c r="O39" s="22">
        <v>0.33</v>
      </c>
      <c r="P39" s="22">
        <v>10.050000000000001</v>
      </c>
      <c r="Q39" s="22">
        <v>0.3</v>
      </c>
      <c r="R39" s="22">
        <f t="shared" si="2"/>
        <v>10.553999999999998</v>
      </c>
      <c r="S39" s="22">
        <f t="shared" si="0"/>
        <v>0.32600000000000001</v>
      </c>
      <c r="T39" s="22">
        <f t="shared" si="1"/>
        <v>2.5988762554481717</v>
      </c>
      <c r="U39" t="s">
        <v>40</v>
      </c>
      <c r="V39" t="s">
        <v>40</v>
      </c>
    </row>
    <row r="40" spans="1:22" x14ac:dyDescent="0.3">
      <c r="A40" s="20" t="s">
        <v>54</v>
      </c>
      <c r="B40" s="25" t="s">
        <v>24</v>
      </c>
      <c r="C40" s="24" t="s">
        <v>169</v>
      </c>
      <c r="D40" s="24" t="s">
        <v>172</v>
      </c>
      <c r="E40" s="24">
        <v>60</v>
      </c>
      <c r="F40" s="23">
        <v>0</v>
      </c>
      <c r="G40" s="22">
        <v>0.49</v>
      </c>
      <c r="H40" s="22">
        <v>23.8</v>
      </c>
      <c r="I40" s="22">
        <v>2.84</v>
      </c>
      <c r="J40" s="22">
        <v>24.02</v>
      </c>
      <c r="K40" s="22">
        <v>2.72</v>
      </c>
      <c r="L40" s="22">
        <v>23.59</v>
      </c>
      <c r="M40" s="22">
        <v>2.69</v>
      </c>
      <c r="N40" s="22">
        <v>23.53</v>
      </c>
      <c r="O40" s="22">
        <v>2.67</v>
      </c>
      <c r="P40" s="22">
        <v>23.68</v>
      </c>
      <c r="Q40" s="22">
        <v>2.7</v>
      </c>
      <c r="R40" s="22">
        <f t="shared" si="2"/>
        <v>23.724</v>
      </c>
      <c r="S40" s="22">
        <f t="shared" si="0"/>
        <v>2.7240000000000002</v>
      </c>
      <c r="T40" s="22">
        <f t="shared" si="1"/>
        <v>10.992043500252908</v>
      </c>
      <c r="U40" t="s">
        <v>40</v>
      </c>
      <c r="V40" t="s">
        <v>40</v>
      </c>
    </row>
    <row r="41" spans="1:22" x14ac:dyDescent="0.3">
      <c r="A41" s="20" t="s">
        <v>55</v>
      </c>
      <c r="B41" s="25" t="s">
        <v>24</v>
      </c>
      <c r="C41" s="24" t="s">
        <v>169</v>
      </c>
      <c r="D41" s="24" t="s">
        <v>172</v>
      </c>
      <c r="E41" s="24">
        <v>60</v>
      </c>
      <c r="F41" s="23">
        <v>0</v>
      </c>
      <c r="G41" s="22">
        <v>0.49</v>
      </c>
      <c r="H41" s="22">
        <v>12.63</v>
      </c>
      <c r="I41" s="22">
        <v>0.56000000000000005</v>
      </c>
      <c r="J41" s="22">
        <v>12.95</v>
      </c>
      <c r="K41" s="22">
        <v>0.55000000000000004</v>
      </c>
      <c r="L41" s="22">
        <v>12.72</v>
      </c>
      <c r="M41" s="22">
        <v>0.54</v>
      </c>
      <c r="N41" s="22">
        <v>12.8</v>
      </c>
      <c r="O41" s="22">
        <v>0.55000000000000004</v>
      </c>
      <c r="P41" s="22">
        <v>13</v>
      </c>
      <c r="Q41" s="22">
        <v>0.56000000000000005</v>
      </c>
      <c r="R41" s="22">
        <f t="shared" si="2"/>
        <v>12.819999999999999</v>
      </c>
      <c r="S41" s="22">
        <f t="shared" si="0"/>
        <v>0.55200000000000005</v>
      </c>
      <c r="T41" s="22">
        <f t="shared" si="1"/>
        <v>3.8157722308892357</v>
      </c>
      <c r="U41" t="s">
        <v>40</v>
      </c>
      <c r="V41" t="s">
        <v>40</v>
      </c>
    </row>
    <row r="42" spans="1:22" x14ac:dyDescent="0.3">
      <c r="D42" s="25"/>
    </row>
    <row r="43" spans="1:22" x14ac:dyDescent="0.3">
      <c r="D43" s="25"/>
    </row>
    <row r="44" spans="1:22" x14ac:dyDescent="0.3">
      <c r="D44" s="25"/>
    </row>
    <row r="45" spans="1:22" x14ac:dyDescent="0.3">
      <c r="D45" s="25"/>
    </row>
    <row r="46" spans="1:22" x14ac:dyDescent="0.3">
      <c r="D46" s="25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E654-62B0-7942-B91E-2D1C489809B9}">
  <dimension ref="A1:W211"/>
  <sheetViews>
    <sheetView workbookViewId="0">
      <pane xSplit="1" topLeftCell="K1" activePane="topRight" state="frozen"/>
      <selection pane="topRight" activeCell="X16" sqref="X16"/>
    </sheetView>
  </sheetViews>
  <sheetFormatPr baseColWidth="10" defaultRowHeight="15.75" x14ac:dyDescent="0.25"/>
  <cols>
    <col min="1" max="1" width="15.375" bestFit="1" customWidth="1"/>
    <col min="2" max="2" width="13.125" bestFit="1" customWidth="1"/>
    <col min="3" max="3" width="16.5" bestFit="1" customWidth="1"/>
    <col min="4" max="4" width="16.625" bestFit="1" customWidth="1"/>
    <col min="5" max="5" width="15.375" bestFit="1" customWidth="1"/>
    <col min="6" max="6" width="17.125" bestFit="1" customWidth="1"/>
    <col min="8" max="8" width="19.875" bestFit="1" customWidth="1"/>
    <col min="9" max="9" width="19.875" customWidth="1"/>
    <col min="10" max="10" width="12.125" bestFit="1" customWidth="1"/>
    <col min="11" max="11" width="13.375" bestFit="1" customWidth="1"/>
    <col min="12" max="12" width="12.125" bestFit="1" customWidth="1"/>
    <col min="13" max="13" width="13.375" bestFit="1" customWidth="1"/>
    <col min="14" max="14" width="12.125" bestFit="1" customWidth="1"/>
    <col min="15" max="15" width="13.375" bestFit="1" customWidth="1"/>
    <col min="16" max="17" width="13.375" customWidth="1"/>
    <col min="18" max="18" width="15.625" style="17" bestFit="1" customWidth="1"/>
    <col min="19" max="19" width="12.875" style="3" bestFit="1" customWidth="1"/>
    <col min="20" max="20" width="16.5" bestFit="1" customWidth="1"/>
    <col min="21" max="21" width="11.875" bestFit="1" customWidth="1"/>
    <col min="22" max="22" width="17" bestFit="1" customWidth="1"/>
    <col min="23" max="23" width="15.625" style="3" bestFit="1" customWidth="1"/>
  </cols>
  <sheetData>
    <row r="1" spans="1:23" ht="18.75" x14ac:dyDescent="0.3">
      <c r="A1" s="19" t="s">
        <v>146</v>
      </c>
      <c r="B1" s="19" t="s">
        <v>165</v>
      </c>
      <c r="C1" s="19" t="s">
        <v>632</v>
      </c>
      <c r="D1" s="19" t="s">
        <v>166</v>
      </c>
      <c r="E1" s="19" t="s">
        <v>167</v>
      </c>
      <c r="F1" s="19" t="s">
        <v>623</v>
      </c>
      <c r="G1" s="19" t="s">
        <v>168</v>
      </c>
      <c r="H1" s="19" t="s">
        <v>495</v>
      </c>
      <c r="I1" s="19" t="s">
        <v>496</v>
      </c>
      <c r="J1" s="19" t="s">
        <v>359</v>
      </c>
      <c r="K1" s="19" t="s">
        <v>360</v>
      </c>
      <c r="L1" s="19" t="s">
        <v>361</v>
      </c>
      <c r="M1" s="19" t="s">
        <v>362</v>
      </c>
      <c r="N1" s="19" t="s">
        <v>363</v>
      </c>
      <c r="O1" s="19" t="s">
        <v>364</v>
      </c>
      <c r="P1" s="19" t="s">
        <v>409</v>
      </c>
      <c r="Q1" s="19" t="s">
        <v>410</v>
      </c>
      <c r="R1" s="29" t="s">
        <v>365</v>
      </c>
      <c r="S1" s="21" t="s">
        <v>683</v>
      </c>
      <c r="T1" s="19" t="s">
        <v>684</v>
      </c>
      <c r="U1" s="19" t="s">
        <v>1420</v>
      </c>
      <c r="V1" s="19" t="s">
        <v>1421</v>
      </c>
      <c r="W1" s="21" t="s">
        <v>1422</v>
      </c>
    </row>
    <row r="2" spans="1:23" x14ac:dyDescent="0.25">
      <c r="A2" s="26" t="s">
        <v>366</v>
      </c>
      <c r="B2" t="s">
        <v>6</v>
      </c>
      <c r="C2" t="s">
        <v>63</v>
      </c>
      <c r="D2" t="s">
        <v>357</v>
      </c>
      <c r="E2" t="s">
        <v>170</v>
      </c>
      <c r="F2" s="5">
        <v>4.7009999999999996</v>
      </c>
      <c r="G2">
        <v>0</v>
      </c>
      <c r="H2">
        <v>1002</v>
      </c>
      <c r="I2">
        <v>6</v>
      </c>
      <c r="J2">
        <v>4063</v>
      </c>
      <c r="K2">
        <v>1159</v>
      </c>
      <c r="L2">
        <v>3614</v>
      </c>
      <c r="M2">
        <v>1065</v>
      </c>
      <c r="N2">
        <v>3888</v>
      </c>
      <c r="O2">
        <v>1116</v>
      </c>
      <c r="P2">
        <v>3472</v>
      </c>
      <c r="Q2">
        <v>1064</v>
      </c>
      <c r="R2" s="17">
        <f>AVERAGE(J2/K2,L2/M2,N2/O2,P2/Q2)*(48000/H2)*I2*1000</f>
        <v>980555.52399005857</v>
      </c>
      <c r="S2" s="3">
        <f>1309300/R2</f>
        <v>1.3352634990747085</v>
      </c>
      <c r="T2" s="17">
        <f>R2*S2</f>
        <v>1309300</v>
      </c>
      <c r="U2" s="45">
        <v>83930</v>
      </c>
      <c r="V2" s="3">
        <v>58070</v>
      </c>
      <c r="W2" s="3">
        <f>V2*I2/H2*1000</f>
        <v>347724.55089820357</v>
      </c>
    </row>
    <row r="3" spans="1:23" x14ac:dyDescent="0.25">
      <c r="A3" s="26" t="s">
        <v>367</v>
      </c>
      <c r="B3" t="s">
        <v>6</v>
      </c>
      <c r="C3" t="s">
        <v>63</v>
      </c>
      <c r="D3" t="s">
        <v>357</v>
      </c>
      <c r="E3" t="s">
        <v>170</v>
      </c>
      <c r="F3" s="5">
        <v>4.7009999999999996</v>
      </c>
      <c r="G3">
        <v>2</v>
      </c>
      <c r="H3">
        <v>1002</v>
      </c>
      <c r="I3">
        <v>6</v>
      </c>
      <c r="J3">
        <v>3363</v>
      </c>
      <c r="K3">
        <v>1033</v>
      </c>
      <c r="L3">
        <v>3644</v>
      </c>
      <c r="M3">
        <v>1034</v>
      </c>
      <c r="N3">
        <v>3333</v>
      </c>
      <c r="O3">
        <v>1034</v>
      </c>
      <c r="P3">
        <v>3369</v>
      </c>
      <c r="Q3">
        <v>1055</v>
      </c>
      <c r="R3" s="17">
        <f t="shared" ref="R3:R66" si="0">AVERAGE(J3/K3,L3/M3,N3/O3,P3/Q3)*(48000/H3)*I3*1000</f>
        <v>948252.4631606529</v>
      </c>
      <c r="S3" s="3">
        <v>1.34</v>
      </c>
      <c r="T3" s="17">
        <f t="shared" ref="T3:T66" si="1">R3*S3</f>
        <v>1270658.300635275</v>
      </c>
      <c r="U3">
        <v>72271</v>
      </c>
      <c r="V3">
        <v>48801</v>
      </c>
      <c r="W3" s="3">
        <f t="shared" ref="W3:W66" si="2">V3*I3/H3*1000</f>
        <v>292221.55688622751</v>
      </c>
    </row>
    <row r="4" spans="1:23" x14ac:dyDescent="0.25">
      <c r="A4" s="26" t="s">
        <v>368</v>
      </c>
      <c r="B4" t="s">
        <v>6</v>
      </c>
      <c r="C4" t="s">
        <v>63</v>
      </c>
      <c r="D4" t="s">
        <v>357</v>
      </c>
      <c r="E4" t="s">
        <v>170</v>
      </c>
      <c r="F4" s="5">
        <v>4.7009999999999996</v>
      </c>
      <c r="G4">
        <v>5</v>
      </c>
      <c r="H4">
        <v>1002</v>
      </c>
      <c r="I4">
        <v>6</v>
      </c>
      <c r="J4">
        <v>4389</v>
      </c>
      <c r="K4">
        <v>1066</v>
      </c>
      <c r="L4">
        <v>5138</v>
      </c>
      <c r="M4">
        <v>1227</v>
      </c>
      <c r="N4">
        <v>4116</v>
      </c>
      <c r="O4">
        <v>1021</v>
      </c>
      <c r="P4">
        <v>3927</v>
      </c>
      <c r="Q4">
        <v>1025</v>
      </c>
      <c r="R4" s="17">
        <f t="shared" si="0"/>
        <v>1161720.0851271157</v>
      </c>
      <c r="S4" s="3">
        <v>1.34</v>
      </c>
      <c r="T4" s="17">
        <f t="shared" si="1"/>
        <v>1556704.9140703352</v>
      </c>
      <c r="U4">
        <v>92136</v>
      </c>
      <c r="V4">
        <v>64634</v>
      </c>
      <c r="W4" s="3">
        <f t="shared" si="2"/>
        <v>387029.94011976046</v>
      </c>
    </row>
    <row r="5" spans="1:23" x14ac:dyDescent="0.25">
      <c r="A5" s="26" t="s">
        <v>369</v>
      </c>
      <c r="B5" t="s">
        <v>6</v>
      </c>
      <c r="C5" t="s">
        <v>63</v>
      </c>
      <c r="D5" t="s">
        <v>357</v>
      </c>
      <c r="E5" t="s">
        <v>170</v>
      </c>
      <c r="F5" s="5">
        <v>4.7009999999999996</v>
      </c>
      <c r="G5">
        <v>10</v>
      </c>
      <c r="H5">
        <v>1002</v>
      </c>
      <c r="I5">
        <v>6</v>
      </c>
      <c r="J5">
        <v>3001</v>
      </c>
      <c r="K5">
        <v>1051</v>
      </c>
      <c r="L5">
        <v>2978</v>
      </c>
      <c r="M5">
        <v>1032</v>
      </c>
      <c r="N5">
        <v>3102</v>
      </c>
      <c r="O5">
        <v>1037</v>
      </c>
      <c r="P5">
        <v>3087</v>
      </c>
      <c r="Q5">
        <v>1032</v>
      </c>
      <c r="R5" s="17">
        <f t="shared" si="0"/>
        <v>842416.88160344481</v>
      </c>
      <c r="S5" s="3">
        <v>1.34</v>
      </c>
      <c r="T5" s="17">
        <f t="shared" si="1"/>
        <v>1128838.6213486162</v>
      </c>
      <c r="U5">
        <v>74853</v>
      </c>
      <c r="V5">
        <v>48181</v>
      </c>
      <c r="W5" s="3">
        <f t="shared" si="2"/>
        <v>288508.98203592817</v>
      </c>
    </row>
    <row r="6" spans="1:23" x14ac:dyDescent="0.25">
      <c r="A6" s="26" t="s">
        <v>370</v>
      </c>
      <c r="B6" t="s">
        <v>6</v>
      </c>
      <c r="C6" t="s">
        <v>63</v>
      </c>
      <c r="D6" t="s">
        <v>357</v>
      </c>
      <c r="E6" t="s">
        <v>170</v>
      </c>
      <c r="F6" s="5">
        <v>4.7009999999999996</v>
      </c>
      <c r="G6">
        <v>15</v>
      </c>
      <c r="H6">
        <v>1002</v>
      </c>
      <c r="I6">
        <v>6</v>
      </c>
      <c r="J6">
        <v>3036</v>
      </c>
      <c r="K6">
        <v>1019</v>
      </c>
      <c r="L6">
        <v>3618</v>
      </c>
      <c r="M6">
        <v>1029</v>
      </c>
      <c r="N6">
        <v>3488</v>
      </c>
      <c r="O6">
        <v>1044</v>
      </c>
      <c r="P6">
        <v>3395</v>
      </c>
      <c r="Q6">
        <v>1022</v>
      </c>
      <c r="R6" s="17">
        <f t="shared" si="0"/>
        <v>945509.49862832925</v>
      </c>
      <c r="S6" s="3">
        <v>1.34</v>
      </c>
      <c r="T6" s="17">
        <f t="shared" si="1"/>
        <v>1266982.7281619613</v>
      </c>
      <c r="U6">
        <v>73995</v>
      </c>
      <c r="V6">
        <v>52465</v>
      </c>
      <c r="W6" s="3">
        <f t="shared" si="2"/>
        <v>314161.67664670659</v>
      </c>
    </row>
    <row r="7" spans="1:23" x14ac:dyDescent="0.25">
      <c r="A7" s="26" t="s">
        <v>371</v>
      </c>
      <c r="B7" t="s">
        <v>6</v>
      </c>
      <c r="C7" t="s">
        <v>63</v>
      </c>
      <c r="D7" t="s">
        <v>357</v>
      </c>
      <c r="E7" t="s">
        <v>170</v>
      </c>
      <c r="F7" s="5">
        <v>4.7009999999999996</v>
      </c>
      <c r="G7">
        <v>30</v>
      </c>
      <c r="H7">
        <v>1002</v>
      </c>
      <c r="I7">
        <v>6</v>
      </c>
      <c r="J7">
        <v>2914</v>
      </c>
      <c r="K7">
        <v>1039</v>
      </c>
      <c r="L7">
        <v>3011</v>
      </c>
      <c r="M7">
        <v>1030</v>
      </c>
      <c r="N7">
        <v>2930</v>
      </c>
      <c r="O7">
        <v>1032</v>
      </c>
      <c r="P7">
        <v>2935</v>
      </c>
      <c r="Q7">
        <v>1026</v>
      </c>
      <c r="R7" s="17">
        <f t="shared" si="0"/>
        <v>821151.51133856783</v>
      </c>
      <c r="S7" s="3">
        <v>1.34</v>
      </c>
      <c r="T7" s="17">
        <f t="shared" si="1"/>
        <v>1100343.025193681</v>
      </c>
      <c r="U7">
        <v>75480</v>
      </c>
      <c r="V7">
        <v>53301</v>
      </c>
      <c r="W7" s="3">
        <f t="shared" si="2"/>
        <v>319167.66467065865</v>
      </c>
    </row>
    <row r="8" spans="1:23" x14ac:dyDescent="0.25">
      <c r="A8" s="26" t="s">
        <v>372</v>
      </c>
      <c r="B8" t="s">
        <v>6</v>
      </c>
      <c r="C8" t="s">
        <v>64</v>
      </c>
      <c r="D8" t="s">
        <v>357</v>
      </c>
      <c r="E8" t="s">
        <v>170</v>
      </c>
      <c r="F8" s="5">
        <v>7.5289999999999999</v>
      </c>
      <c r="G8">
        <v>0</v>
      </c>
      <c r="H8">
        <v>1002</v>
      </c>
      <c r="I8">
        <v>6</v>
      </c>
      <c r="J8">
        <v>3521</v>
      </c>
      <c r="K8">
        <v>1020</v>
      </c>
      <c r="L8">
        <v>3451</v>
      </c>
      <c r="M8">
        <v>1023</v>
      </c>
      <c r="N8">
        <v>3284</v>
      </c>
      <c r="O8">
        <v>1026</v>
      </c>
      <c r="P8">
        <v>3371</v>
      </c>
      <c r="Q8">
        <v>1026</v>
      </c>
      <c r="R8" s="17">
        <f t="shared" si="0"/>
        <v>956531.28825226671</v>
      </c>
      <c r="S8" s="3">
        <f>1309300/R8</f>
        <v>1.3687999713969601</v>
      </c>
      <c r="T8" s="17">
        <f t="shared" si="1"/>
        <v>1309300</v>
      </c>
      <c r="U8">
        <v>54928</v>
      </c>
      <c r="V8">
        <v>36443</v>
      </c>
      <c r="W8" s="3">
        <f t="shared" si="2"/>
        <v>218221.55688622754</v>
      </c>
    </row>
    <row r="9" spans="1:23" x14ac:dyDescent="0.25">
      <c r="A9" s="26" t="s">
        <v>373</v>
      </c>
      <c r="B9" t="s">
        <v>6</v>
      </c>
      <c r="C9" t="s">
        <v>64</v>
      </c>
      <c r="D9" t="s">
        <v>357</v>
      </c>
      <c r="E9" t="s">
        <v>170</v>
      </c>
      <c r="F9" s="5">
        <v>7.5289999999999999</v>
      </c>
      <c r="G9">
        <v>2</v>
      </c>
      <c r="H9">
        <v>1002</v>
      </c>
      <c r="I9">
        <v>6</v>
      </c>
      <c r="J9">
        <v>4117</v>
      </c>
      <c r="K9">
        <v>1016</v>
      </c>
      <c r="L9">
        <v>3921</v>
      </c>
      <c r="M9">
        <v>1019</v>
      </c>
      <c r="N9">
        <v>3754</v>
      </c>
      <c r="O9">
        <v>1010</v>
      </c>
      <c r="P9">
        <v>4129</v>
      </c>
      <c r="Q9">
        <v>1065</v>
      </c>
      <c r="R9" s="17">
        <f t="shared" si="0"/>
        <v>1113332.8692923517</v>
      </c>
      <c r="S9" s="3">
        <v>1.37</v>
      </c>
      <c r="T9" s="17">
        <f t="shared" si="1"/>
        <v>1525266.0309305219</v>
      </c>
      <c r="U9">
        <v>72741</v>
      </c>
      <c r="V9">
        <v>51118</v>
      </c>
      <c r="W9" s="3">
        <f t="shared" si="2"/>
        <v>306095.80838323355</v>
      </c>
    </row>
    <row r="10" spans="1:23" x14ac:dyDescent="0.25">
      <c r="A10" s="26" t="s">
        <v>374</v>
      </c>
      <c r="B10" t="s">
        <v>6</v>
      </c>
      <c r="C10" t="s">
        <v>64</v>
      </c>
      <c r="D10" t="s">
        <v>357</v>
      </c>
      <c r="E10" t="s">
        <v>170</v>
      </c>
      <c r="F10" s="5">
        <v>7.5289999999999999</v>
      </c>
      <c r="G10">
        <v>5</v>
      </c>
      <c r="H10">
        <v>1002</v>
      </c>
      <c r="I10">
        <v>6</v>
      </c>
      <c r="J10">
        <v>3333</v>
      </c>
      <c r="K10">
        <v>1006</v>
      </c>
      <c r="L10">
        <v>3245</v>
      </c>
      <c r="M10">
        <v>1010</v>
      </c>
      <c r="N10">
        <v>3118</v>
      </c>
      <c r="O10">
        <v>1029</v>
      </c>
      <c r="P10">
        <v>3314</v>
      </c>
      <c r="Q10">
        <v>1008</v>
      </c>
      <c r="R10" s="17">
        <f t="shared" si="0"/>
        <v>922909.02815150074</v>
      </c>
      <c r="S10" s="3">
        <v>1.37</v>
      </c>
      <c r="T10" s="17">
        <f t="shared" si="1"/>
        <v>1264385.3685675561</v>
      </c>
      <c r="U10">
        <v>73726</v>
      </c>
      <c r="V10">
        <v>51686</v>
      </c>
      <c r="W10" s="3">
        <f t="shared" si="2"/>
        <v>309497.00598802394</v>
      </c>
    </row>
    <row r="11" spans="1:23" x14ac:dyDescent="0.25">
      <c r="A11" s="26" t="s">
        <v>375</v>
      </c>
      <c r="B11" t="s">
        <v>6</v>
      </c>
      <c r="C11" t="s">
        <v>64</v>
      </c>
      <c r="D11" t="s">
        <v>357</v>
      </c>
      <c r="E11" t="s">
        <v>170</v>
      </c>
      <c r="F11" s="5">
        <v>7.5289999999999999</v>
      </c>
      <c r="G11">
        <v>10</v>
      </c>
      <c r="H11">
        <v>1002</v>
      </c>
      <c r="I11">
        <v>6</v>
      </c>
      <c r="J11">
        <v>2895</v>
      </c>
      <c r="K11">
        <v>1016</v>
      </c>
      <c r="L11">
        <v>3192</v>
      </c>
      <c r="M11">
        <v>1032</v>
      </c>
      <c r="N11">
        <v>4369</v>
      </c>
      <c r="O11">
        <v>1469</v>
      </c>
      <c r="P11">
        <v>3020</v>
      </c>
      <c r="Q11">
        <v>1030</v>
      </c>
      <c r="R11" s="17">
        <f t="shared" si="0"/>
        <v>851396.66602720553</v>
      </c>
      <c r="S11" s="3">
        <v>1.37</v>
      </c>
      <c r="T11" s="17">
        <f t="shared" si="1"/>
        <v>1166413.4324572717</v>
      </c>
      <c r="U11">
        <v>102084</v>
      </c>
      <c r="V11">
        <v>72055</v>
      </c>
      <c r="W11" s="3">
        <f t="shared" si="2"/>
        <v>431467.06586826348</v>
      </c>
    </row>
    <row r="12" spans="1:23" x14ac:dyDescent="0.25">
      <c r="A12" s="26" t="s">
        <v>376</v>
      </c>
      <c r="B12" t="s">
        <v>6</v>
      </c>
      <c r="C12" t="s">
        <v>64</v>
      </c>
      <c r="D12" t="s">
        <v>357</v>
      </c>
      <c r="E12" t="s">
        <v>170</v>
      </c>
      <c r="F12" s="5">
        <v>7.5289999999999999</v>
      </c>
      <c r="G12">
        <v>15</v>
      </c>
      <c r="H12">
        <v>1002</v>
      </c>
      <c r="I12">
        <v>6</v>
      </c>
      <c r="J12">
        <v>2932</v>
      </c>
      <c r="K12">
        <v>1028</v>
      </c>
      <c r="L12">
        <v>2991</v>
      </c>
      <c r="M12">
        <v>1024</v>
      </c>
      <c r="N12">
        <v>2946</v>
      </c>
      <c r="O12">
        <v>1037</v>
      </c>
      <c r="P12">
        <v>3399</v>
      </c>
      <c r="Q12">
        <v>1198</v>
      </c>
      <c r="R12" s="17">
        <f t="shared" si="0"/>
        <v>822837.44223141321</v>
      </c>
      <c r="S12" s="3">
        <v>1.37</v>
      </c>
      <c r="T12" s="17">
        <f t="shared" si="1"/>
        <v>1127287.2958570363</v>
      </c>
      <c r="U12">
        <v>79449</v>
      </c>
      <c r="V12">
        <v>57776</v>
      </c>
      <c r="W12" s="3">
        <f t="shared" si="2"/>
        <v>345964.07185628742</v>
      </c>
    </row>
    <row r="13" spans="1:23" x14ac:dyDescent="0.25">
      <c r="A13" s="26" t="s">
        <v>377</v>
      </c>
      <c r="B13" t="s">
        <v>6</v>
      </c>
      <c r="C13" t="s">
        <v>64</v>
      </c>
      <c r="D13" t="s">
        <v>357</v>
      </c>
      <c r="E13" t="s">
        <v>170</v>
      </c>
      <c r="F13" s="5">
        <v>7.5289999999999999</v>
      </c>
      <c r="G13">
        <v>30</v>
      </c>
      <c r="H13">
        <v>1002</v>
      </c>
      <c r="I13">
        <v>6</v>
      </c>
      <c r="J13">
        <v>2266</v>
      </c>
      <c r="K13">
        <v>1017</v>
      </c>
      <c r="L13">
        <v>2556</v>
      </c>
      <c r="M13">
        <v>1009</v>
      </c>
      <c r="N13">
        <v>2424</v>
      </c>
      <c r="O13">
        <v>1013</v>
      </c>
      <c r="P13">
        <v>2292</v>
      </c>
      <c r="Q13">
        <v>1017</v>
      </c>
      <c r="R13" s="17">
        <f t="shared" si="0"/>
        <v>676016.96989098855</v>
      </c>
      <c r="S13" s="3">
        <v>1.37</v>
      </c>
      <c r="T13" s="17">
        <f t="shared" si="1"/>
        <v>926143.2487506544</v>
      </c>
      <c r="U13">
        <v>77193</v>
      </c>
      <c r="V13">
        <v>55123</v>
      </c>
      <c r="W13" s="3">
        <f t="shared" si="2"/>
        <v>330077.84431137727</v>
      </c>
    </row>
    <row r="14" spans="1:23" x14ac:dyDescent="0.25">
      <c r="A14" s="26" t="s">
        <v>378</v>
      </c>
      <c r="B14" t="s">
        <v>6</v>
      </c>
      <c r="C14" t="s">
        <v>65</v>
      </c>
      <c r="D14" t="s">
        <v>357</v>
      </c>
      <c r="E14" t="s">
        <v>170</v>
      </c>
      <c r="F14" s="5">
        <v>5.7389999999999999</v>
      </c>
      <c r="G14">
        <v>0</v>
      </c>
      <c r="H14">
        <v>1002</v>
      </c>
      <c r="I14">
        <v>6</v>
      </c>
      <c r="J14">
        <v>3648</v>
      </c>
      <c r="K14">
        <v>1006</v>
      </c>
      <c r="L14">
        <v>3768</v>
      </c>
      <c r="M14">
        <v>1007</v>
      </c>
      <c r="N14">
        <v>3625</v>
      </c>
      <c r="O14">
        <v>1009</v>
      </c>
      <c r="P14">
        <v>3454</v>
      </c>
      <c r="Q14">
        <v>1012</v>
      </c>
      <c r="R14" s="17">
        <f t="shared" si="0"/>
        <v>1032844.9852095121</v>
      </c>
      <c r="S14" s="3">
        <f>1309300/R14</f>
        <v>1.2676636075590852</v>
      </c>
      <c r="T14" s="17">
        <f t="shared" si="1"/>
        <v>1309300</v>
      </c>
      <c r="U14">
        <v>58999</v>
      </c>
      <c r="V14">
        <v>42085</v>
      </c>
      <c r="W14" s="3">
        <f t="shared" si="2"/>
        <v>252005.98802395209</v>
      </c>
    </row>
    <row r="15" spans="1:23" x14ac:dyDescent="0.25">
      <c r="A15" s="26" t="s">
        <v>379</v>
      </c>
      <c r="B15" t="s">
        <v>6</v>
      </c>
      <c r="C15" t="s">
        <v>65</v>
      </c>
      <c r="D15" t="s">
        <v>357</v>
      </c>
      <c r="E15" t="s">
        <v>170</v>
      </c>
      <c r="F15" s="5">
        <v>5.7389999999999999</v>
      </c>
      <c r="G15">
        <v>2</v>
      </c>
      <c r="H15">
        <v>1002</v>
      </c>
      <c r="I15">
        <v>6</v>
      </c>
      <c r="J15">
        <v>4026</v>
      </c>
      <c r="K15">
        <v>1043</v>
      </c>
      <c r="L15">
        <v>3662</v>
      </c>
      <c r="M15">
        <v>1014</v>
      </c>
      <c r="N15">
        <v>3885</v>
      </c>
      <c r="O15">
        <v>1035</v>
      </c>
      <c r="P15">
        <v>3765</v>
      </c>
      <c r="Q15">
        <v>1009</v>
      </c>
      <c r="R15" s="17">
        <f t="shared" si="0"/>
        <v>1074718.5234156011</v>
      </c>
      <c r="S15" s="3">
        <v>1.27</v>
      </c>
      <c r="T15" s="17">
        <f t="shared" si="1"/>
        <v>1364892.5247378135</v>
      </c>
      <c r="U15">
        <v>71769</v>
      </c>
      <c r="V15">
        <v>50113</v>
      </c>
      <c r="W15" s="3">
        <f t="shared" si="2"/>
        <v>300077.84431137727</v>
      </c>
    </row>
    <row r="16" spans="1:23" x14ac:dyDescent="0.25">
      <c r="A16" s="26" t="s">
        <v>380</v>
      </c>
      <c r="B16" t="s">
        <v>6</v>
      </c>
      <c r="C16" t="s">
        <v>65</v>
      </c>
      <c r="D16" t="s">
        <v>357</v>
      </c>
      <c r="E16" t="s">
        <v>170</v>
      </c>
      <c r="F16" s="5">
        <v>5.7389999999999999</v>
      </c>
      <c r="G16">
        <v>5</v>
      </c>
      <c r="H16">
        <v>1002</v>
      </c>
      <c r="I16">
        <v>6</v>
      </c>
      <c r="J16">
        <v>3307</v>
      </c>
      <c r="K16">
        <v>1027</v>
      </c>
      <c r="L16">
        <v>3730</v>
      </c>
      <c r="M16">
        <v>1080</v>
      </c>
      <c r="N16">
        <v>3210</v>
      </c>
      <c r="O16">
        <v>1014</v>
      </c>
      <c r="P16">
        <v>3382</v>
      </c>
      <c r="Q16">
        <v>1029</v>
      </c>
      <c r="R16" s="17">
        <f t="shared" si="0"/>
        <v>943194.87683922297</v>
      </c>
      <c r="S16" s="3">
        <v>1.27</v>
      </c>
      <c r="T16" s="17">
        <f t="shared" si="1"/>
        <v>1197857.4935858131</v>
      </c>
      <c r="U16">
        <v>67559</v>
      </c>
      <c r="V16">
        <v>47811</v>
      </c>
      <c r="W16" s="3">
        <f t="shared" si="2"/>
        <v>286293.41317365272</v>
      </c>
    </row>
    <row r="17" spans="1:23" x14ac:dyDescent="0.25">
      <c r="A17" s="26" t="s">
        <v>381</v>
      </c>
      <c r="B17" t="s">
        <v>6</v>
      </c>
      <c r="C17" t="s">
        <v>65</v>
      </c>
      <c r="D17" t="s">
        <v>357</v>
      </c>
      <c r="E17" t="s">
        <v>170</v>
      </c>
      <c r="F17" s="5">
        <v>5.7389999999999999</v>
      </c>
      <c r="G17">
        <v>10</v>
      </c>
      <c r="H17">
        <v>1002</v>
      </c>
      <c r="I17">
        <v>6</v>
      </c>
      <c r="J17">
        <v>3455</v>
      </c>
      <c r="K17">
        <v>1042</v>
      </c>
      <c r="L17">
        <v>3233</v>
      </c>
      <c r="M17">
        <v>1014</v>
      </c>
      <c r="N17">
        <v>3164</v>
      </c>
      <c r="O17">
        <v>1014</v>
      </c>
      <c r="P17">
        <v>3277</v>
      </c>
      <c r="Q17">
        <v>1026</v>
      </c>
      <c r="R17" s="17">
        <f t="shared" si="0"/>
        <v>921080.80810976843</v>
      </c>
      <c r="S17" s="3">
        <v>1.27</v>
      </c>
      <c r="T17" s="17">
        <f t="shared" si="1"/>
        <v>1169772.6262994059</v>
      </c>
      <c r="U17">
        <v>61356</v>
      </c>
      <c r="V17">
        <v>44804</v>
      </c>
      <c r="W17" s="3">
        <f t="shared" si="2"/>
        <v>268287.4251497006</v>
      </c>
    </row>
    <row r="18" spans="1:23" x14ac:dyDescent="0.25">
      <c r="A18" s="26" t="s">
        <v>382</v>
      </c>
      <c r="B18" t="s">
        <v>6</v>
      </c>
      <c r="C18" t="s">
        <v>65</v>
      </c>
      <c r="D18" t="s">
        <v>357</v>
      </c>
      <c r="E18" t="s">
        <v>170</v>
      </c>
      <c r="F18" s="5">
        <v>5.7389999999999999</v>
      </c>
      <c r="G18">
        <v>15</v>
      </c>
      <c r="H18">
        <v>1002</v>
      </c>
      <c r="I18">
        <v>6</v>
      </c>
      <c r="J18">
        <v>3169</v>
      </c>
      <c r="K18">
        <v>1015</v>
      </c>
      <c r="L18">
        <v>3248</v>
      </c>
      <c r="M18">
        <v>1020</v>
      </c>
      <c r="N18">
        <v>3156</v>
      </c>
      <c r="O18">
        <v>1010</v>
      </c>
      <c r="P18">
        <v>3130</v>
      </c>
      <c r="Q18">
        <v>1043</v>
      </c>
      <c r="R18" s="17">
        <f t="shared" si="0"/>
        <v>893331.19481628528</v>
      </c>
      <c r="S18" s="3">
        <v>1.27</v>
      </c>
      <c r="T18" s="17">
        <f t="shared" si="1"/>
        <v>1134530.6174166824</v>
      </c>
      <c r="U18">
        <v>69302</v>
      </c>
      <c r="V18">
        <v>50468</v>
      </c>
      <c r="W18" s="3">
        <f t="shared" si="2"/>
        <v>302203.59281437122</v>
      </c>
    </row>
    <row r="19" spans="1:23" x14ac:dyDescent="0.25">
      <c r="A19" s="26" t="s">
        <v>383</v>
      </c>
      <c r="B19" t="s">
        <v>6</v>
      </c>
      <c r="C19" t="s">
        <v>65</v>
      </c>
      <c r="D19" t="s">
        <v>357</v>
      </c>
      <c r="E19" t="s">
        <v>170</v>
      </c>
      <c r="F19" s="5">
        <v>5.7389999999999999</v>
      </c>
      <c r="G19">
        <v>30</v>
      </c>
      <c r="H19">
        <v>1002</v>
      </c>
      <c r="I19">
        <v>6</v>
      </c>
      <c r="J19">
        <v>2636</v>
      </c>
      <c r="K19">
        <v>1031</v>
      </c>
      <c r="L19">
        <v>2719</v>
      </c>
      <c r="M19">
        <v>1035</v>
      </c>
      <c r="N19">
        <v>2875</v>
      </c>
      <c r="O19">
        <v>1023</v>
      </c>
      <c r="P19">
        <v>2741</v>
      </c>
      <c r="Q19">
        <v>1077</v>
      </c>
      <c r="R19" s="17">
        <f t="shared" si="0"/>
        <v>757306.94710654917</v>
      </c>
      <c r="S19" s="3">
        <v>1.27</v>
      </c>
      <c r="T19" s="17">
        <f t="shared" si="1"/>
        <v>961779.8228253175</v>
      </c>
      <c r="U19">
        <v>70866</v>
      </c>
      <c r="V19">
        <v>51439</v>
      </c>
      <c r="W19" s="3">
        <f t="shared" si="2"/>
        <v>308017.96407185629</v>
      </c>
    </row>
    <row r="20" spans="1:23" x14ac:dyDescent="0.25">
      <c r="A20" s="26" t="s">
        <v>384</v>
      </c>
      <c r="B20" t="s">
        <v>6</v>
      </c>
      <c r="C20" t="s">
        <v>66</v>
      </c>
      <c r="D20" t="s">
        <v>357</v>
      </c>
      <c r="E20" t="s">
        <v>170</v>
      </c>
      <c r="F20" s="5">
        <v>4.2270000000000003</v>
      </c>
      <c r="G20">
        <v>0</v>
      </c>
      <c r="H20">
        <v>1002</v>
      </c>
      <c r="I20">
        <v>6</v>
      </c>
      <c r="J20">
        <v>3829</v>
      </c>
      <c r="K20">
        <v>1033</v>
      </c>
      <c r="L20">
        <v>5114</v>
      </c>
      <c r="M20">
        <v>1343</v>
      </c>
      <c r="N20">
        <v>4695</v>
      </c>
      <c r="O20">
        <v>1234</v>
      </c>
      <c r="P20">
        <v>5119</v>
      </c>
      <c r="Q20">
        <v>1530</v>
      </c>
      <c r="R20" s="17">
        <f t="shared" si="0"/>
        <v>1053774.190238209</v>
      </c>
      <c r="S20" s="3">
        <f>1309300/R20</f>
        <v>1.242486305063164</v>
      </c>
      <c r="T20" s="17">
        <f t="shared" si="1"/>
        <v>1309300</v>
      </c>
      <c r="U20">
        <v>73191</v>
      </c>
      <c r="V20">
        <v>55586</v>
      </c>
      <c r="W20" s="3">
        <f t="shared" si="2"/>
        <v>332850.29940119764</v>
      </c>
    </row>
    <row r="21" spans="1:23" x14ac:dyDescent="0.25">
      <c r="A21" s="26" t="s">
        <v>385</v>
      </c>
      <c r="B21" t="s">
        <v>6</v>
      </c>
      <c r="C21" t="s">
        <v>66</v>
      </c>
      <c r="D21" t="s">
        <v>357</v>
      </c>
      <c r="E21" t="s">
        <v>170</v>
      </c>
      <c r="F21" s="5">
        <v>4.2270000000000003</v>
      </c>
      <c r="G21">
        <v>2</v>
      </c>
      <c r="H21">
        <v>1002</v>
      </c>
      <c r="I21">
        <v>6</v>
      </c>
      <c r="J21">
        <v>3492</v>
      </c>
      <c r="K21">
        <v>1018</v>
      </c>
      <c r="L21">
        <v>3448</v>
      </c>
      <c r="M21">
        <v>1031</v>
      </c>
      <c r="N21">
        <v>3414</v>
      </c>
      <c r="O21">
        <v>1019</v>
      </c>
      <c r="P21">
        <v>3302</v>
      </c>
      <c r="Q21">
        <v>1009</v>
      </c>
      <c r="R21" s="17">
        <f t="shared" si="0"/>
        <v>962692.5880415556</v>
      </c>
      <c r="S21" s="3">
        <v>1.24</v>
      </c>
      <c r="T21" s="17">
        <f t="shared" si="1"/>
        <v>1193738.809171529</v>
      </c>
      <c r="U21">
        <v>59743</v>
      </c>
      <c r="V21">
        <v>40996</v>
      </c>
      <c r="W21" s="3">
        <f t="shared" si="2"/>
        <v>245485.02994011977</v>
      </c>
    </row>
    <row r="22" spans="1:23" x14ac:dyDescent="0.25">
      <c r="A22" s="26" t="s">
        <v>386</v>
      </c>
      <c r="B22" t="s">
        <v>6</v>
      </c>
      <c r="C22" t="s">
        <v>66</v>
      </c>
      <c r="D22" t="s">
        <v>357</v>
      </c>
      <c r="E22" t="s">
        <v>170</v>
      </c>
      <c r="F22" s="5">
        <v>4.2270000000000003</v>
      </c>
      <c r="G22">
        <v>5</v>
      </c>
      <c r="H22">
        <v>1002</v>
      </c>
      <c r="I22">
        <v>6</v>
      </c>
      <c r="J22">
        <v>3395</v>
      </c>
      <c r="K22">
        <v>1011</v>
      </c>
      <c r="L22">
        <v>3398</v>
      </c>
      <c r="M22">
        <v>1015</v>
      </c>
      <c r="N22">
        <v>3217</v>
      </c>
      <c r="O22">
        <v>1014</v>
      </c>
      <c r="P22">
        <v>3348</v>
      </c>
      <c r="Q22">
        <v>1010</v>
      </c>
      <c r="R22" s="17">
        <f t="shared" si="0"/>
        <v>948020.1117291305</v>
      </c>
      <c r="S22" s="3">
        <v>1.24</v>
      </c>
      <c r="T22" s="17">
        <f t="shared" si="1"/>
        <v>1175544.9385441218</v>
      </c>
      <c r="U22">
        <v>54644</v>
      </c>
      <c r="V22">
        <v>35324</v>
      </c>
      <c r="W22" s="3">
        <f t="shared" si="2"/>
        <v>211520.95808383235</v>
      </c>
    </row>
    <row r="23" spans="1:23" x14ac:dyDescent="0.25">
      <c r="A23" s="26" t="s">
        <v>387</v>
      </c>
      <c r="B23" t="s">
        <v>6</v>
      </c>
      <c r="C23" t="s">
        <v>66</v>
      </c>
      <c r="D23" t="s">
        <v>357</v>
      </c>
      <c r="E23" t="s">
        <v>170</v>
      </c>
      <c r="F23" s="5">
        <v>4.2270000000000003</v>
      </c>
      <c r="G23">
        <v>10</v>
      </c>
      <c r="H23">
        <v>1002</v>
      </c>
      <c r="I23">
        <v>6</v>
      </c>
      <c r="J23">
        <v>3367</v>
      </c>
      <c r="K23">
        <v>1029</v>
      </c>
      <c r="L23">
        <v>3406</v>
      </c>
      <c r="M23">
        <v>1018</v>
      </c>
      <c r="N23">
        <v>3315</v>
      </c>
      <c r="O23">
        <v>1026</v>
      </c>
      <c r="P23">
        <v>3309</v>
      </c>
      <c r="Q23">
        <v>1016</v>
      </c>
      <c r="R23" s="17">
        <f t="shared" si="0"/>
        <v>941731.88915913121</v>
      </c>
      <c r="S23" s="3">
        <v>1.24</v>
      </c>
      <c r="T23" s="17">
        <f t="shared" si="1"/>
        <v>1167747.5425573227</v>
      </c>
      <c r="U23">
        <v>58749</v>
      </c>
      <c r="V23">
        <v>39847</v>
      </c>
      <c r="W23" s="3">
        <f t="shared" si="2"/>
        <v>238604.79041916167</v>
      </c>
    </row>
    <row r="24" spans="1:23" x14ac:dyDescent="0.25">
      <c r="A24" s="26" t="s">
        <v>388</v>
      </c>
      <c r="B24" t="s">
        <v>6</v>
      </c>
      <c r="C24" t="s">
        <v>66</v>
      </c>
      <c r="D24" t="s">
        <v>357</v>
      </c>
      <c r="E24" t="s">
        <v>170</v>
      </c>
      <c r="F24" s="5">
        <v>4.2270000000000003</v>
      </c>
      <c r="G24">
        <v>15</v>
      </c>
      <c r="H24">
        <v>1002</v>
      </c>
      <c r="I24">
        <v>6</v>
      </c>
      <c r="J24">
        <v>3124</v>
      </c>
      <c r="K24">
        <v>1009</v>
      </c>
      <c r="L24">
        <v>3075</v>
      </c>
      <c r="M24">
        <v>1008</v>
      </c>
      <c r="N24">
        <v>2971</v>
      </c>
      <c r="O24">
        <v>1027</v>
      </c>
      <c r="P24">
        <v>3106</v>
      </c>
      <c r="Q24">
        <v>1026</v>
      </c>
      <c r="R24" s="17">
        <f t="shared" si="0"/>
        <v>867083.52514235443</v>
      </c>
      <c r="S24" s="3">
        <v>1.24</v>
      </c>
      <c r="T24" s="17">
        <f t="shared" si="1"/>
        <v>1075183.5711765194</v>
      </c>
      <c r="U24">
        <v>67214</v>
      </c>
      <c r="V24">
        <v>48609</v>
      </c>
      <c r="W24" s="3">
        <f t="shared" si="2"/>
        <v>291071.85628742515</v>
      </c>
    </row>
    <row r="25" spans="1:23" x14ac:dyDescent="0.25">
      <c r="A25" s="26" t="s">
        <v>389</v>
      </c>
      <c r="B25" t="s">
        <v>6</v>
      </c>
      <c r="C25" t="s">
        <v>66</v>
      </c>
      <c r="D25" t="s">
        <v>357</v>
      </c>
      <c r="E25" t="s">
        <v>170</v>
      </c>
      <c r="F25" s="5">
        <v>4.2270000000000003</v>
      </c>
      <c r="G25">
        <v>30</v>
      </c>
      <c r="H25">
        <v>1002</v>
      </c>
      <c r="I25">
        <v>6</v>
      </c>
      <c r="J25">
        <v>2429</v>
      </c>
      <c r="K25">
        <v>1022</v>
      </c>
      <c r="L25">
        <v>2462</v>
      </c>
      <c r="M25">
        <v>1080</v>
      </c>
      <c r="N25">
        <v>2506</v>
      </c>
      <c r="O25">
        <v>1079</v>
      </c>
      <c r="P25">
        <v>2315</v>
      </c>
      <c r="Q25">
        <v>1010</v>
      </c>
      <c r="R25" s="17">
        <f t="shared" si="0"/>
        <v>666175.47441620694</v>
      </c>
      <c r="S25" s="3">
        <v>1.24</v>
      </c>
      <c r="T25" s="17">
        <f t="shared" si="1"/>
        <v>826057.58827609662</v>
      </c>
      <c r="U25">
        <v>78554</v>
      </c>
      <c r="V25">
        <v>49206</v>
      </c>
      <c r="W25" s="3">
        <f t="shared" si="2"/>
        <v>294646.7065868263</v>
      </c>
    </row>
    <row r="26" spans="1:23" x14ac:dyDescent="0.25">
      <c r="A26" s="26" t="s">
        <v>390</v>
      </c>
      <c r="B26" t="s">
        <v>6</v>
      </c>
      <c r="C26" t="s">
        <v>66</v>
      </c>
      <c r="D26" t="s">
        <v>357</v>
      </c>
      <c r="E26" t="s">
        <v>170</v>
      </c>
      <c r="F26" s="5">
        <v>4.2270000000000003</v>
      </c>
      <c r="G26">
        <v>45</v>
      </c>
      <c r="H26">
        <v>1000</v>
      </c>
      <c r="I26">
        <v>2</v>
      </c>
      <c r="J26" t="s">
        <v>40</v>
      </c>
      <c r="K26" t="s">
        <v>40</v>
      </c>
      <c r="L26">
        <v>3698</v>
      </c>
      <c r="M26">
        <v>1005</v>
      </c>
      <c r="N26">
        <v>3954</v>
      </c>
      <c r="O26">
        <v>1011</v>
      </c>
      <c r="P26">
        <v>3976</v>
      </c>
      <c r="Q26">
        <v>1015</v>
      </c>
      <c r="R26" s="17">
        <f>AVERAGE(L26/M26,N26/O26,P26/Q26)*(48000/H26)*I26*1000</f>
        <v>368250.32313109579</v>
      </c>
      <c r="S26" s="3">
        <v>1.24</v>
      </c>
      <c r="T26" s="17">
        <f t="shared" si="1"/>
        <v>456630.40068255877</v>
      </c>
      <c r="U26">
        <v>199409</v>
      </c>
      <c r="V26">
        <v>187023</v>
      </c>
      <c r="W26" s="3">
        <f t="shared" si="2"/>
        <v>374046</v>
      </c>
    </row>
    <row r="27" spans="1:23" x14ac:dyDescent="0.25">
      <c r="A27" s="26" t="s">
        <v>391</v>
      </c>
      <c r="B27" t="s">
        <v>6</v>
      </c>
      <c r="C27" t="s">
        <v>66</v>
      </c>
      <c r="D27" t="s">
        <v>357</v>
      </c>
      <c r="E27" t="s">
        <v>170</v>
      </c>
      <c r="F27" s="5">
        <v>4.2270000000000003</v>
      </c>
      <c r="G27">
        <v>60</v>
      </c>
      <c r="H27">
        <v>1000</v>
      </c>
      <c r="I27">
        <v>2</v>
      </c>
      <c r="J27" t="s">
        <v>40</v>
      </c>
      <c r="K27" t="s">
        <v>40</v>
      </c>
      <c r="L27">
        <v>4084</v>
      </c>
      <c r="M27">
        <v>1009</v>
      </c>
      <c r="N27">
        <v>3724</v>
      </c>
      <c r="O27">
        <v>1012</v>
      </c>
      <c r="P27">
        <v>3851</v>
      </c>
      <c r="Q27">
        <v>1010</v>
      </c>
      <c r="R27" s="17">
        <f>AVERAGE(L27/M27,N27/O27,P27/Q27)*(48000/H27)*I27*1000</f>
        <v>369289.12120582513</v>
      </c>
      <c r="S27" s="3">
        <v>1.24</v>
      </c>
      <c r="T27" s="17">
        <f t="shared" si="1"/>
        <v>457918.51029522315</v>
      </c>
      <c r="U27">
        <v>211648</v>
      </c>
      <c r="V27">
        <v>199552</v>
      </c>
      <c r="W27" s="3">
        <f t="shared" si="2"/>
        <v>399104</v>
      </c>
    </row>
    <row r="28" spans="1:23" x14ac:dyDescent="0.25">
      <c r="A28" s="26" t="s">
        <v>392</v>
      </c>
      <c r="B28" t="s">
        <v>6</v>
      </c>
      <c r="C28" t="s">
        <v>67</v>
      </c>
      <c r="D28" t="s">
        <v>357</v>
      </c>
      <c r="E28" t="s">
        <v>170</v>
      </c>
      <c r="F28" s="5">
        <v>3.8769999999999998</v>
      </c>
      <c r="G28">
        <v>0</v>
      </c>
      <c r="H28">
        <v>1002</v>
      </c>
      <c r="I28">
        <v>6</v>
      </c>
      <c r="J28">
        <v>4503</v>
      </c>
      <c r="K28">
        <v>1014</v>
      </c>
      <c r="L28">
        <v>4290</v>
      </c>
      <c r="M28">
        <v>1017</v>
      </c>
      <c r="N28">
        <v>4283</v>
      </c>
      <c r="O28">
        <v>1023</v>
      </c>
      <c r="P28">
        <v>4382</v>
      </c>
      <c r="Q28">
        <v>1021</v>
      </c>
      <c r="R28" s="17">
        <f t="shared" si="0"/>
        <v>1231451.0637304543</v>
      </c>
      <c r="S28" s="3">
        <f>1309300/R28</f>
        <v>1.0632172390462002</v>
      </c>
      <c r="T28" s="17">
        <f t="shared" si="1"/>
        <v>1309300</v>
      </c>
      <c r="U28">
        <v>46798</v>
      </c>
      <c r="V28">
        <v>29457</v>
      </c>
      <c r="W28" s="3">
        <f t="shared" si="2"/>
        <v>176389.22155688624</v>
      </c>
    </row>
    <row r="29" spans="1:23" x14ac:dyDescent="0.25">
      <c r="A29" s="26" t="s">
        <v>393</v>
      </c>
      <c r="B29" t="s">
        <v>6</v>
      </c>
      <c r="C29" t="s">
        <v>67</v>
      </c>
      <c r="D29" t="s">
        <v>357</v>
      </c>
      <c r="E29" t="s">
        <v>170</v>
      </c>
      <c r="F29" s="5">
        <v>3.8769999999999998</v>
      </c>
      <c r="G29">
        <v>2</v>
      </c>
      <c r="H29">
        <v>1002</v>
      </c>
      <c r="I29">
        <v>6</v>
      </c>
      <c r="J29">
        <v>4431</v>
      </c>
      <c r="K29">
        <v>1006</v>
      </c>
      <c r="L29">
        <v>4224</v>
      </c>
      <c r="M29">
        <v>1016</v>
      </c>
      <c r="N29">
        <v>4740</v>
      </c>
      <c r="O29">
        <v>1020</v>
      </c>
      <c r="P29">
        <v>4518</v>
      </c>
      <c r="Q29">
        <v>1014</v>
      </c>
      <c r="R29" s="17">
        <f t="shared" si="0"/>
        <v>1269322.1320870074</v>
      </c>
      <c r="S29" s="3">
        <v>1.06</v>
      </c>
      <c r="T29" s="17">
        <f t="shared" si="1"/>
        <v>1345481.460012228</v>
      </c>
      <c r="U29">
        <v>70698</v>
      </c>
      <c r="V29">
        <v>47170</v>
      </c>
      <c r="W29" s="3">
        <f t="shared" si="2"/>
        <v>282455.08982035925</v>
      </c>
    </row>
    <row r="30" spans="1:23" x14ac:dyDescent="0.25">
      <c r="A30" s="26" t="s">
        <v>394</v>
      </c>
      <c r="B30" t="s">
        <v>6</v>
      </c>
      <c r="C30" t="s">
        <v>67</v>
      </c>
      <c r="D30" t="s">
        <v>357</v>
      </c>
      <c r="E30" t="s">
        <v>170</v>
      </c>
      <c r="F30" s="5">
        <v>3.8769999999999998</v>
      </c>
      <c r="G30">
        <v>5</v>
      </c>
      <c r="H30">
        <v>1002</v>
      </c>
      <c r="I30">
        <v>6</v>
      </c>
      <c r="J30">
        <v>4207</v>
      </c>
      <c r="K30">
        <v>1007</v>
      </c>
      <c r="L30">
        <v>4361</v>
      </c>
      <c r="M30">
        <v>1010</v>
      </c>
      <c r="N30">
        <v>4343</v>
      </c>
      <c r="O30">
        <v>1011</v>
      </c>
      <c r="P30">
        <v>4393</v>
      </c>
      <c r="Q30">
        <v>1011</v>
      </c>
      <c r="R30" s="17">
        <f t="shared" si="0"/>
        <v>1231367.2129655678</v>
      </c>
      <c r="S30" s="3">
        <v>1.06</v>
      </c>
      <c r="T30" s="17">
        <f t="shared" si="1"/>
        <v>1305249.2457435019</v>
      </c>
      <c r="U30">
        <v>59730</v>
      </c>
      <c r="V30">
        <v>40631</v>
      </c>
      <c r="W30" s="3">
        <f t="shared" si="2"/>
        <v>243299.40119760481</v>
      </c>
    </row>
    <row r="31" spans="1:23" x14ac:dyDescent="0.25">
      <c r="A31" s="26" t="s">
        <v>395</v>
      </c>
      <c r="B31" t="s">
        <v>6</v>
      </c>
      <c r="C31" t="s">
        <v>67</v>
      </c>
      <c r="D31" t="s">
        <v>357</v>
      </c>
      <c r="E31" t="s">
        <v>170</v>
      </c>
      <c r="F31" s="5">
        <v>3.8769999999999998</v>
      </c>
      <c r="G31">
        <v>10</v>
      </c>
      <c r="H31">
        <v>1002</v>
      </c>
      <c r="I31">
        <v>6</v>
      </c>
      <c r="J31">
        <v>3994</v>
      </c>
      <c r="K31">
        <v>999</v>
      </c>
      <c r="L31">
        <v>4270</v>
      </c>
      <c r="M31">
        <v>1047</v>
      </c>
      <c r="N31">
        <v>4328</v>
      </c>
      <c r="O31">
        <v>1017</v>
      </c>
      <c r="P31">
        <v>3850</v>
      </c>
      <c r="Q31">
        <v>1020</v>
      </c>
      <c r="R31" s="17">
        <f t="shared" si="0"/>
        <v>1157351.9060534947</v>
      </c>
      <c r="S31" s="3">
        <v>1.06</v>
      </c>
      <c r="T31" s="17">
        <f t="shared" si="1"/>
        <v>1226793.0204167045</v>
      </c>
      <c r="U31">
        <v>62726</v>
      </c>
      <c r="V31">
        <v>41246</v>
      </c>
      <c r="W31" s="3">
        <f t="shared" si="2"/>
        <v>246982.03592814371</v>
      </c>
    </row>
    <row r="32" spans="1:23" x14ac:dyDescent="0.25">
      <c r="A32" s="26" t="s">
        <v>396</v>
      </c>
      <c r="B32" t="s">
        <v>6</v>
      </c>
      <c r="C32" t="s">
        <v>67</v>
      </c>
      <c r="D32" t="s">
        <v>357</v>
      </c>
      <c r="E32" t="s">
        <v>170</v>
      </c>
      <c r="F32" s="5">
        <v>3.8769999999999998</v>
      </c>
      <c r="G32">
        <v>15</v>
      </c>
      <c r="H32">
        <v>1002</v>
      </c>
      <c r="I32">
        <v>6</v>
      </c>
      <c r="J32">
        <v>3917</v>
      </c>
      <c r="K32">
        <v>1014</v>
      </c>
      <c r="L32">
        <v>4245</v>
      </c>
      <c r="M32">
        <v>1010</v>
      </c>
      <c r="N32">
        <v>4193</v>
      </c>
      <c r="O32">
        <v>1073</v>
      </c>
      <c r="P32">
        <v>3793</v>
      </c>
      <c r="Q32">
        <v>1015</v>
      </c>
      <c r="R32" s="17">
        <f t="shared" si="0"/>
        <v>1128903.2740250954</v>
      </c>
      <c r="S32" s="3">
        <v>1.06</v>
      </c>
      <c r="T32" s="17">
        <f t="shared" si="1"/>
        <v>1196637.4704666012</v>
      </c>
      <c r="U32">
        <v>73559</v>
      </c>
      <c r="V32">
        <v>49514</v>
      </c>
      <c r="W32" s="3">
        <f t="shared" si="2"/>
        <v>296491.01796407183</v>
      </c>
    </row>
    <row r="33" spans="1:23" x14ac:dyDescent="0.25">
      <c r="A33" s="26" t="s">
        <v>397</v>
      </c>
      <c r="B33" t="s">
        <v>6</v>
      </c>
      <c r="C33" t="s">
        <v>67</v>
      </c>
      <c r="D33" t="s">
        <v>357</v>
      </c>
      <c r="E33" t="s">
        <v>170</v>
      </c>
      <c r="F33" s="5">
        <v>3.8769999999999998</v>
      </c>
      <c r="G33">
        <v>30</v>
      </c>
      <c r="H33">
        <v>1002</v>
      </c>
      <c r="I33">
        <v>6</v>
      </c>
      <c r="J33">
        <v>3649</v>
      </c>
      <c r="K33">
        <v>1011</v>
      </c>
      <c r="L33">
        <v>3514</v>
      </c>
      <c r="M33">
        <v>1021</v>
      </c>
      <c r="N33">
        <v>3261</v>
      </c>
      <c r="O33">
        <v>1024</v>
      </c>
      <c r="P33">
        <v>3223</v>
      </c>
      <c r="Q33">
        <v>1010</v>
      </c>
      <c r="R33" s="17">
        <f t="shared" si="0"/>
        <v>964791.44526693446</v>
      </c>
      <c r="S33" s="3">
        <v>1.06</v>
      </c>
      <c r="T33" s="17">
        <f t="shared" si="1"/>
        <v>1022678.9319829505</v>
      </c>
      <c r="U33">
        <v>58988</v>
      </c>
      <c r="V33">
        <v>40626</v>
      </c>
      <c r="W33" s="3">
        <f t="shared" si="2"/>
        <v>243269.46107784432</v>
      </c>
    </row>
    <row r="34" spans="1:23" x14ac:dyDescent="0.25">
      <c r="A34" s="26" t="s">
        <v>398</v>
      </c>
      <c r="B34" t="s">
        <v>6</v>
      </c>
      <c r="C34" t="s">
        <v>67</v>
      </c>
      <c r="D34" t="s">
        <v>357</v>
      </c>
      <c r="E34" t="s">
        <v>170</v>
      </c>
      <c r="F34" s="5">
        <v>3.8769999999999998</v>
      </c>
      <c r="G34">
        <v>45</v>
      </c>
      <c r="H34">
        <v>1000</v>
      </c>
      <c r="I34">
        <v>2</v>
      </c>
      <c r="J34" t="s">
        <v>40</v>
      </c>
      <c r="K34" t="s">
        <v>40</v>
      </c>
      <c r="L34">
        <v>5465</v>
      </c>
      <c r="M34">
        <v>1044</v>
      </c>
      <c r="N34">
        <v>5287</v>
      </c>
      <c r="O34">
        <v>1032</v>
      </c>
      <c r="P34">
        <v>5708</v>
      </c>
      <c r="Q34">
        <v>1015</v>
      </c>
      <c r="R34" s="17">
        <f>AVERAGE(L34/M34,N34/O34,P34/Q34)*(48000/H34)*I34*1000</f>
        <v>511404.21328649076</v>
      </c>
      <c r="S34" s="3">
        <v>1.06</v>
      </c>
      <c r="T34" s="17">
        <f t="shared" si="1"/>
        <v>542088.46608368028</v>
      </c>
      <c r="U34">
        <v>183714</v>
      </c>
      <c r="V34">
        <v>170765</v>
      </c>
      <c r="W34" s="3">
        <f t="shared" si="2"/>
        <v>341530</v>
      </c>
    </row>
    <row r="35" spans="1:23" x14ac:dyDescent="0.25">
      <c r="A35" s="26" t="s">
        <v>399</v>
      </c>
      <c r="B35" t="s">
        <v>6</v>
      </c>
      <c r="C35" t="s">
        <v>67</v>
      </c>
      <c r="D35" t="s">
        <v>357</v>
      </c>
      <c r="E35" t="s">
        <v>170</v>
      </c>
      <c r="F35" s="5">
        <v>3.8769999999999998</v>
      </c>
      <c r="G35">
        <v>60</v>
      </c>
      <c r="H35">
        <v>1000</v>
      </c>
      <c r="I35">
        <v>2</v>
      </c>
      <c r="J35" t="s">
        <v>40</v>
      </c>
      <c r="K35" t="s">
        <v>40</v>
      </c>
      <c r="L35">
        <v>6003</v>
      </c>
      <c r="M35">
        <v>1018</v>
      </c>
      <c r="N35">
        <v>6003</v>
      </c>
      <c r="O35">
        <v>1010</v>
      </c>
      <c r="P35">
        <v>5700</v>
      </c>
      <c r="Q35">
        <v>1017</v>
      </c>
      <c r="R35" s="17">
        <f>AVERAGE(L35/M35,N35/O35,P35/Q35)*(48000/H35)*I35*1000</f>
        <v>558244.50246335554</v>
      </c>
      <c r="S35" s="3">
        <v>1.06</v>
      </c>
      <c r="T35" s="17">
        <f t="shared" si="1"/>
        <v>591739.17261115694</v>
      </c>
      <c r="U35">
        <v>161171</v>
      </c>
      <c r="V35">
        <v>148338</v>
      </c>
      <c r="W35" s="3">
        <f t="shared" si="2"/>
        <v>296676</v>
      </c>
    </row>
    <row r="36" spans="1:23" x14ac:dyDescent="0.25">
      <c r="A36" s="26" t="s">
        <v>400</v>
      </c>
      <c r="B36" t="s">
        <v>6</v>
      </c>
      <c r="C36" t="s">
        <v>68</v>
      </c>
      <c r="D36" t="s">
        <v>357</v>
      </c>
      <c r="E36" t="s">
        <v>170</v>
      </c>
      <c r="F36" s="5">
        <v>7.4489999999999998</v>
      </c>
      <c r="G36">
        <v>0</v>
      </c>
      <c r="H36">
        <v>1002</v>
      </c>
      <c r="I36">
        <v>6</v>
      </c>
      <c r="J36">
        <v>3887</v>
      </c>
      <c r="K36">
        <v>1030</v>
      </c>
      <c r="L36">
        <v>4133</v>
      </c>
      <c r="M36">
        <v>1022</v>
      </c>
      <c r="N36">
        <v>3745</v>
      </c>
      <c r="O36">
        <v>1030</v>
      </c>
      <c r="P36">
        <v>3714</v>
      </c>
      <c r="Q36">
        <v>1029</v>
      </c>
      <c r="R36" s="17">
        <f t="shared" si="0"/>
        <v>1082376.2511436758</v>
      </c>
      <c r="S36" s="3">
        <v>1.06</v>
      </c>
      <c r="T36" s="17">
        <f t="shared" si="1"/>
        <v>1147318.8262122963</v>
      </c>
      <c r="U36">
        <v>56026</v>
      </c>
      <c r="V36">
        <v>37543</v>
      </c>
      <c r="W36" s="3">
        <f t="shared" si="2"/>
        <v>224808.38323353295</v>
      </c>
    </row>
    <row r="37" spans="1:23" x14ac:dyDescent="0.25">
      <c r="A37" s="26" t="s">
        <v>401</v>
      </c>
      <c r="B37" t="s">
        <v>6</v>
      </c>
      <c r="C37" t="s">
        <v>68</v>
      </c>
      <c r="D37" t="s">
        <v>357</v>
      </c>
      <c r="E37" t="s">
        <v>170</v>
      </c>
      <c r="F37" s="5">
        <v>7.4489999999999998</v>
      </c>
      <c r="G37">
        <v>2</v>
      </c>
      <c r="H37">
        <v>1002</v>
      </c>
      <c r="I37">
        <v>6</v>
      </c>
      <c r="J37">
        <v>3525</v>
      </c>
      <c r="K37">
        <v>1026</v>
      </c>
      <c r="L37">
        <v>3697</v>
      </c>
      <c r="M37">
        <v>1011</v>
      </c>
      <c r="N37">
        <v>3714</v>
      </c>
      <c r="O37">
        <v>1019</v>
      </c>
      <c r="P37">
        <v>3616</v>
      </c>
      <c r="Q37">
        <v>1028</v>
      </c>
      <c r="R37" s="17">
        <f t="shared" si="0"/>
        <v>1024290.35689147</v>
      </c>
      <c r="S37" s="3">
        <f>1309300/R37</f>
        <v>1.2782508311153891</v>
      </c>
      <c r="T37" s="17">
        <f t="shared" si="1"/>
        <v>1309300</v>
      </c>
      <c r="U37">
        <v>64642</v>
      </c>
      <c r="V37">
        <v>43251</v>
      </c>
      <c r="W37" s="3">
        <f t="shared" si="2"/>
        <v>258988.02395209583</v>
      </c>
    </row>
    <row r="38" spans="1:23" x14ac:dyDescent="0.25">
      <c r="A38" s="26" t="s">
        <v>402</v>
      </c>
      <c r="B38" t="s">
        <v>6</v>
      </c>
      <c r="C38" t="s">
        <v>68</v>
      </c>
      <c r="D38" t="s">
        <v>357</v>
      </c>
      <c r="E38" t="s">
        <v>170</v>
      </c>
      <c r="F38" s="5">
        <v>7.4489999999999998</v>
      </c>
      <c r="G38">
        <v>5</v>
      </c>
      <c r="H38">
        <v>1002</v>
      </c>
      <c r="I38">
        <v>6</v>
      </c>
      <c r="J38">
        <v>3984</v>
      </c>
      <c r="K38">
        <v>1020</v>
      </c>
      <c r="L38">
        <v>4145</v>
      </c>
      <c r="M38">
        <v>1006</v>
      </c>
      <c r="N38">
        <v>3555</v>
      </c>
      <c r="O38">
        <v>1008</v>
      </c>
      <c r="P38">
        <v>3662</v>
      </c>
      <c r="Q38">
        <v>1014</v>
      </c>
      <c r="R38" s="17">
        <f t="shared" si="0"/>
        <v>1089656.4962483242</v>
      </c>
      <c r="S38" s="3">
        <v>1.28</v>
      </c>
      <c r="T38" s="17">
        <f t="shared" si="1"/>
        <v>1394760.315197855</v>
      </c>
      <c r="U38">
        <v>53470</v>
      </c>
      <c r="V38">
        <v>41135</v>
      </c>
      <c r="W38" s="3">
        <f t="shared" si="2"/>
        <v>246317.36526946106</v>
      </c>
    </row>
    <row r="39" spans="1:23" x14ac:dyDescent="0.25">
      <c r="A39" s="26" t="s">
        <v>403</v>
      </c>
      <c r="B39" t="s">
        <v>6</v>
      </c>
      <c r="C39" t="s">
        <v>68</v>
      </c>
      <c r="D39" t="s">
        <v>357</v>
      </c>
      <c r="E39" t="s">
        <v>170</v>
      </c>
      <c r="F39" s="5">
        <v>7.4489999999999998</v>
      </c>
      <c r="G39">
        <v>10</v>
      </c>
      <c r="H39">
        <v>1002</v>
      </c>
      <c r="I39">
        <v>6</v>
      </c>
      <c r="J39">
        <v>3192</v>
      </c>
      <c r="K39">
        <v>1016</v>
      </c>
      <c r="L39">
        <v>5807</v>
      </c>
      <c r="M39">
        <v>1739</v>
      </c>
      <c r="N39">
        <v>3396</v>
      </c>
      <c r="O39">
        <v>1022</v>
      </c>
      <c r="P39">
        <v>3493</v>
      </c>
      <c r="Q39">
        <v>1016</v>
      </c>
      <c r="R39" s="17">
        <f t="shared" si="0"/>
        <v>951513.49486761435</v>
      </c>
      <c r="S39" s="3">
        <v>1.28</v>
      </c>
      <c r="T39" s="17">
        <f t="shared" si="1"/>
        <v>1217937.2734305465</v>
      </c>
      <c r="U39">
        <v>61227</v>
      </c>
      <c r="V39">
        <v>43687</v>
      </c>
      <c r="W39" s="3">
        <f t="shared" si="2"/>
        <v>261598.80239520958</v>
      </c>
    </row>
    <row r="40" spans="1:23" x14ac:dyDescent="0.25">
      <c r="A40" s="26" t="s">
        <v>404</v>
      </c>
      <c r="B40" t="s">
        <v>6</v>
      </c>
      <c r="C40" t="s">
        <v>68</v>
      </c>
      <c r="D40" t="s">
        <v>357</v>
      </c>
      <c r="E40" t="s">
        <v>170</v>
      </c>
      <c r="F40" s="5">
        <v>7.4489999999999998</v>
      </c>
      <c r="G40">
        <v>15</v>
      </c>
      <c r="H40">
        <v>1002</v>
      </c>
      <c r="I40">
        <v>6</v>
      </c>
      <c r="J40">
        <v>3448</v>
      </c>
      <c r="K40">
        <v>1032</v>
      </c>
      <c r="L40">
        <v>3436</v>
      </c>
      <c r="M40">
        <v>1025</v>
      </c>
      <c r="N40">
        <v>3417</v>
      </c>
      <c r="O40">
        <v>1008</v>
      </c>
      <c r="P40">
        <v>3343</v>
      </c>
      <c r="Q40">
        <v>1016</v>
      </c>
      <c r="R40" s="17">
        <f t="shared" si="0"/>
        <v>960971.18632517348</v>
      </c>
      <c r="S40" s="3">
        <v>1.28</v>
      </c>
      <c r="T40" s="17">
        <f t="shared" si="1"/>
        <v>1230043.1184962222</v>
      </c>
      <c r="U40">
        <v>68824</v>
      </c>
      <c r="V40">
        <v>47444</v>
      </c>
      <c r="W40" s="3">
        <f t="shared" si="2"/>
        <v>284095.80838323355</v>
      </c>
    </row>
    <row r="41" spans="1:23" x14ac:dyDescent="0.25">
      <c r="A41" s="26" t="s">
        <v>405</v>
      </c>
      <c r="B41" t="s">
        <v>6</v>
      </c>
      <c r="C41" t="s">
        <v>68</v>
      </c>
      <c r="D41" t="s">
        <v>357</v>
      </c>
      <c r="E41" t="s">
        <v>170</v>
      </c>
      <c r="F41" s="5">
        <v>7.4489999999999998</v>
      </c>
      <c r="G41">
        <v>30</v>
      </c>
      <c r="H41">
        <v>1002</v>
      </c>
      <c r="I41">
        <v>6</v>
      </c>
      <c r="J41">
        <v>2882</v>
      </c>
      <c r="K41">
        <v>1024</v>
      </c>
      <c r="L41">
        <v>3178</v>
      </c>
      <c r="M41">
        <v>1105</v>
      </c>
      <c r="N41">
        <v>3008</v>
      </c>
      <c r="O41">
        <v>1042</v>
      </c>
      <c r="P41">
        <v>2828</v>
      </c>
      <c r="Q41">
        <v>1022</v>
      </c>
      <c r="R41" s="17">
        <f t="shared" si="0"/>
        <v>815162.92815970653</v>
      </c>
      <c r="S41" s="3">
        <v>1.28</v>
      </c>
      <c r="T41" s="17">
        <f t="shared" si="1"/>
        <v>1043408.5480444244</v>
      </c>
      <c r="U41">
        <v>70944</v>
      </c>
      <c r="V41">
        <v>51946</v>
      </c>
      <c r="W41" s="3">
        <f t="shared" si="2"/>
        <v>311053.89221556886</v>
      </c>
    </row>
    <row r="42" spans="1:23" x14ac:dyDescent="0.25">
      <c r="A42" s="26" t="s">
        <v>406</v>
      </c>
      <c r="B42" t="s">
        <v>6</v>
      </c>
      <c r="C42" t="s">
        <v>68</v>
      </c>
      <c r="D42" t="s">
        <v>357</v>
      </c>
      <c r="E42" t="s">
        <v>170</v>
      </c>
      <c r="F42" s="5">
        <v>7.4489999999999998</v>
      </c>
      <c r="G42">
        <v>45</v>
      </c>
      <c r="H42">
        <v>1000</v>
      </c>
      <c r="I42">
        <v>2</v>
      </c>
      <c r="J42">
        <v>5143</v>
      </c>
      <c r="K42">
        <v>1016</v>
      </c>
      <c r="L42">
        <v>6289</v>
      </c>
      <c r="M42">
        <v>1230</v>
      </c>
      <c r="N42">
        <v>4722</v>
      </c>
      <c r="O42">
        <v>1015</v>
      </c>
      <c r="P42">
        <v>5290</v>
      </c>
      <c r="Q42">
        <v>1082</v>
      </c>
      <c r="R42" s="17">
        <f t="shared" si="0"/>
        <v>473191.84854566719</v>
      </c>
      <c r="S42" s="3">
        <v>1.28</v>
      </c>
      <c r="T42" s="17">
        <f t="shared" si="1"/>
        <v>605685.56613845401</v>
      </c>
      <c r="U42">
        <v>107718</v>
      </c>
      <c r="V42">
        <v>98934</v>
      </c>
      <c r="W42" s="3">
        <f t="shared" si="2"/>
        <v>197868</v>
      </c>
    </row>
    <row r="43" spans="1:23" x14ac:dyDescent="0.25">
      <c r="A43" s="26" t="s">
        <v>407</v>
      </c>
      <c r="B43" t="s">
        <v>6</v>
      </c>
      <c r="C43" t="s">
        <v>68</v>
      </c>
      <c r="D43" t="s">
        <v>357</v>
      </c>
      <c r="E43" t="s">
        <v>170</v>
      </c>
      <c r="F43" s="5">
        <v>7.4489999999999998</v>
      </c>
      <c r="G43">
        <v>60</v>
      </c>
      <c r="H43">
        <v>1000</v>
      </c>
      <c r="I43">
        <v>2</v>
      </c>
      <c r="J43">
        <v>4230</v>
      </c>
      <c r="K43">
        <v>1023</v>
      </c>
      <c r="L43">
        <v>4348</v>
      </c>
      <c r="M43">
        <v>1010</v>
      </c>
      <c r="N43">
        <v>4648</v>
      </c>
      <c r="O43">
        <v>1025</v>
      </c>
      <c r="P43">
        <v>4435</v>
      </c>
      <c r="Q43">
        <v>1020</v>
      </c>
      <c r="R43" s="17">
        <f t="shared" si="0"/>
        <v>415740.50922674529</v>
      </c>
      <c r="S43" s="3">
        <v>1.28</v>
      </c>
      <c r="T43" s="17">
        <f t="shared" si="1"/>
        <v>532147.85181023402</v>
      </c>
      <c r="U43">
        <v>172816</v>
      </c>
      <c r="V43">
        <v>162254</v>
      </c>
      <c r="W43" s="3">
        <f t="shared" si="2"/>
        <v>324508</v>
      </c>
    </row>
    <row r="44" spans="1:23" x14ac:dyDescent="0.25">
      <c r="A44" s="26" t="s">
        <v>453</v>
      </c>
      <c r="B44" t="s">
        <v>23</v>
      </c>
      <c r="C44" t="s">
        <v>45</v>
      </c>
      <c r="D44" t="s">
        <v>358</v>
      </c>
      <c r="E44" t="s">
        <v>170</v>
      </c>
      <c r="F44" s="5">
        <v>4.4130000000000003</v>
      </c>
      <c r="G44">
        <v>0</v>
      </c>
      <c r="H44">
        <v>1002</v>
      </c>
      <c r="I44">
        <v>6</v>
      </c>
      <c r="J44">
        <v>7474</v>
      </c>
      <c r="K44">
        <v>1009</v>
      </c>
      <c r="L44">
        <v>7137</v>
      </c>
      <c r="M44">
        <v>1011</v>
      </c>
      <c r="N44">
        <v>8267</v>
      </c>
      <c r="O44">
        <v>1242</v>
      </c>
      <c r="P44">
        <v>7193</v>
      </c>
      <c r="Q44">
        <v>1010</v>
      </c>
      <c r="R44" s="17">
        <f t="shared" si="0"/>
        <v>2029556.624997776</v>
      </c>
      <c r="S44" s="3">
        <f>1309300/R44</f>
        <v>0.64511627016143724</v>
      </c>
      <c r="T44" s="17">
        <f t="shared" si="1"/>
        <v>1309300</v>
      </c>
      <c r="U44">
        <v>200160</v>
      </c>
      <c r="V44">
        <v>119265</v>
      </c>
      <c r="W44" s="3">
        <f t="shared" si="2"/>
        <v>714161.67664670665</v>
      </c>
    </row>
    <row r="45" spans="1:23" x14ac:dyDescent="0.25">
      <c r="A45" s="26" t="s">
        <v>454</v>
      </c>
      <c r="B45" t="s">
        <v>23</v>
      </c>
      <c r="C45" t="s">
        <v>45</v>
      </c>
      <c r="D45" t="s">
        <v>358</v>
      </c>
      <c r="E45" t="s">
        <v>170</v>
      </c>
      <c r="F45" s="5">
        <v>4.4130000000000003</v>
      </c>
      <c r="G45">
        <v>2</v>
      </c>
      <c r="H45">
        <v>1002</v>
      </c>
      <c r="I45">
        <v>6</v>
      </c>
      <c r="J45">
        <v>3723</v>
      </c>
      <c r="K45">
        <v>1036</v>
      </c>
      <c r="L45">
        <v>3602</v>
      </c>
      <c r="M45">
        <v>1011</v>
      </c>
      <c r="N45">
        <v>2865</v>
      </c>
      <c r="O45">
        <v>1021</v>
      </c>
      <c r="P45">
        <v>3736</v>
      </c>
      <c r="Q45">
        <v>1011</v>
      </c>
      <c r="R45" s="17">
        <f t="shared" si="0"/>
        <v>981403.26172317471</v>
      </c>
      <c r="S45" s="3">
        <v>0.65</v>
      </c>
      <c r="T45" s="17">
        <f t="shared" si="1"/>
        <v>637912.12012006354</v>
      </c>
      <c r="U45">
        <v>26806</v>
      </c>
      <c r="V45">
        <v>16127</v>
      </c>
      <c r="W45" s="3">
        <f t="shared" si="2"/>
        <v>96568.862275449108</v>
      </c>
    </row>
    <row r="46" spans="1:23" x14ac:dyDescent="0.25">
      <c r="A46" s="26" t="s">
        <v>455</v>
      </c>
      <c r="B46" t="s">
        <v>23</v>
      </c>
      <c r="C46" t="s">
        <v>45</v>
      </c>
      <c r="D46" t="s">
        <v>358</v>
      </c>
      <c r="E46" t="s">
        <v>170</v>
      </c>
      <c r="F46" s="5">
        <v>4.4130000000000003</v>
      </c>
      <c r="G46">
        <v>5</v>
      </c>
      <c r="H46">
        <v>1002</v>
      </c>
      <c r="I46">
        <v>6</v>
      </c>
      <c r="J46">
        <v>4554</v>
      </c>
      <c r="K46">
        <v>1009</v>
      </c>
      <c r="L46">
        <v>4425</v>
      </c>
      <c r="M46">
        <v>1011</v>
      </c>
      <c r="N46">
        <v>4658</v>
      </c>
      <c r="O46">
        <v>1009</v>
      </c>
      <c r="P46">
        <v>5281</v>
      </c>
      <c r="Q46">
        <v>1184</v>
      </c>
      <c r="R46" s="17">
        <f t="shared" si="0"/>
        <v>1291041.2098069515</v>
      </c>
      <c r="S46" s="3">
        <v>0.65</v>
      </c>
      <c r="T46" s="17">
        <f t="shared" si="1"/>
        <v>839176.78637451853</v>
      </c>
      <c r="U46">
        <v>38160</v>
      </c>
      <c r="V46">
        <v>23115</v>
      </c>
      <c r="W46" s="3">
        <f t="shared" si="2"/>
        <v>138413.17365269462</v>
      </c>
    </row>
    <row r="47" spans="1:23" x14ac:dyDescent="0.25">
      <c r="A47" s="26" t="s">
        <v>456</v>
      </c>
      <c r="B47" t="s">
        <v>23</v>
      </c>
      <c r="C47" t="s">
        <v>45</v>
      </c>
      <c r="D47" t="s">
        <v>358</v>
      </c>
      <c r="E47" t="s">
        <v>170</v>
      </c>
      <c r="F47" s="5">
        <v>4.4130000000000003</v>
      </c>
      <c r="G47">
        <v>10</v>
      </c>
      <c r="H47">
        <v>1002</v>
      </c>
      <c r="I47">
        <v>6</v>
      </c>
      <c r="J47">
        <v>6565</v>
      </c>
      <c r="K47">
        <v>1012</v>
      </c>
      <c r="L47">
        <v>6722</v>
      </c>
      <c r="M47">
        <v>1009</v>
      </c>
      <c r="N47">
        <v>6200</v>
      </c>
      <c r="O47">
        <v>997</v>
      </c>
      <c r="P47">
        <v>6685</v>
      </c>
      <c r="Q47">
        <v>1006</v>
      </c>
      <c r="R47" s="17">
        <f t="shared" si="0"/>
        <v>1869196.2372305451</v>
      </c>
      <c r="S47" s="3">
        <v>0.65</v>
      </c>
      <c r="T47" s="17">
        <f t="shared" si="1"/>
        <v>1214977.5541998544</v>
      </c>
      <c r="U47">
        <v>79709</v>
      </c>
      <c r="V47">
        <v>58182</v>
      </c>
      <c r="W47" s="3">
        <f t="shared" si="2"/>
        <v>348395.20958083827</v>
      </c>
    </row>
    <row r="48" spans="1:23" x14ac:dyDescent="0.25">
      <c r="A48" s="26" t="s">
        <v>457</v>
      </c>
      <c r="B48" t="s">
        <v>23</v>
      </c>
      <c r="C48" t="s">
        <v>45</v>
      </c>
      <c r="D48" t="s">
        <v>358</v>
      </c>
      <c r="E48" t="s">
        <v>170</v>
      </c>
      <c r="F48" s="5">
        <v>4.4130000000000003</v>
      </c>
      <c r="G48">
        <v>15</v>
      </c>
      <c r="H48">
        <v>1002</v>
      </c>
      <c r="I48">
        <v>6</v>
      </c>
      <c r="J48">
        <v>6466</v>
      </c>
      <c r="K48">
        <v>998</v>
      </c>
      <c r="L48">
        <v>6987</v>
      </c>
      <c r="M48">
        <v>1009</v>
      </c>
      <c r="N48">
        <v>7019</v>
      </c>
      <c r="O48">
        <v>1009</v>
      </c>
      <c r="P48">
        <v>6894</v>
      </c>
      <c r="Q48">
        <v>1011</v>
      </c>
      <c r="R48" s="17">
        <f t="shared" si="0"/>
        <v>1952983.4285356323</v>
      </c>
      <c r="S48" s="3">
        <v>0.65</v>
      </c>
      <c r="T48" s="17">
        <f t="shared" si="1"/>
        <v>1269439.228548161</v>
      </c>
      <c r="U48">
        <v>57046</v>
      </c>
      <c r="V48">
        <v>37356</v>
      </c>
      <c r="W48" s="3">
        <f t="shared" si="2"/>
        <v>223688.62275449099</v>
      </c>
    </row>
    <row r="49" spans="1:23" x14ac:dyDescent="0.25">
      <c r="A49" s="26" t="s">
        <v>458</v>
      </c>
      <c r="B49" t="s">
        <v>23</v>
      </c>
      <c r="C49" t="s">
        <v>45</v>
      </c>
      <c r="D49" t="s">
        <v>358</v>
      </c>
      <c r="E49" t="s">
        <v>170</v>
      </c>
      <c r="F49" s="5">
        <v>4.4130000000000003</v>
      </c>
      <c r="G49">
        <v>30</v>
      </c>
      <c r="H49">
        <v>1002</v>
      </c>
      <c r="I49">
        <v>6</v>
      </c>
      <c r="J49">
        <v>5758</v>
      </c>
      <c r="K49">
        <v>1013</v>
      </c>
      <c r="L49">
        <v>5781</v>
      </c>
      <c r="M49">
        <v>1044</v>
      </c>
      <c r="N49">
        <v>5506</v>
      </c>
      <c r="O49">
        <v>1013</v>
      </c>
      <c r="P49">
        <v>5856</v>
      </c>
      <c r="Q49">
        <v>1017</v>
      </c>
      <c r="R49" s="17">
        <f t="shared" si="0"/>
        <v>1610652.6181659084</v>
      </c>
      <c r="S49" s="3">
        <v>0.65</v>
      </c>
      <c r="T49" s="17">
        <f t="shared" si="1"/>
        <v>1046924.2018078405</v>
      </c>
      <c r="U49">
        <v>56242</v>
      </c>
      <c r="V49">
        <v>37514</v>
      </c>
      <c r="W49" s="3">
        <f t="shared" si="2"/>
        <v>224634.73053892216</v>
      </c>
    </row>
    <row r="50" spans="1:23" x14ac:dyDescent="0.25">
      <c r="A50" s="26" t="s">
        <v>459</v>
      </c>
      <c r="B50" t="s">
        <v>23</v>
      </c>
      <c r="C50" t="s">
        <v>46</v>
      </c>
      <c r="D50" t="s">
        <v>358</v>
      </c>
      <c r="E50" t="s">
        <v>170</v>
      </c>
      <c r="F50" s="5">
        <v>5.4</v>
      </c>
      <c r="G50">
        <v>0</v>
      </c>
      <c r="H50">
        <v>1002</v>
      </c>
      <c r="I50">
        <v>6</v>
      </c>
      <c r="J50">
        <v>7985</v>
      </c>
      <c r="K50">
        <v>991</v>
      </c>
      <c r="L50">
        <v>7141</v>
      </c>
      <c r="M50">
        <v>1011</v>
      </c>
      <c r="N50">
        <v>7699</v>
      </c>
      <c r="O50">
        <v>1011</v>
      </c>
      <c r="P50">
        <v>7425</v>
      </c>
      <c r="Q50">
        <v>1002</v>
      </c>
      <c r="R50" s="17">
        <f t="shared" si="0"/>
        <v>2166196.4121569381</v>
      </c>
      <c r="S50" s="3">
        <f>1309300/R50</f>
        <v>0.60442349209520474</v>
      </c>
      <c r="T50" s="17">
        <f t="shared" si="1"/>
        <v>1309300</v>
      </c>
      <c r="U50">
        <v>62535</v>
      </c>
      <c r="V50">
        <v>41245</v>
      </c>
      <c r="W50" s="3">
        <f t="shared" si="2"/>
        <v>246976.0479041916</v>
      </c>
    </row>
    <row r="51" spans="1:23" x14ac:dyDescent="0.25">
      <c r="A51" s="26" t="s">
        <v>460</v>
      </c>
      <c r="B51" t="s">
        <v>23</v>
      </c>
      <c r="C51" t="s">
        <v>46</v>
      </c>
      <c r="D51" t="s">
        <v>358</v>
      </c>
      <c r="E51" t="s">
        <v>170</v>
      </c>
      <c r="F51" s="5">
        <v>5.4</v>
      </c>
      <c r="G51">
        <v>2</v>
      </c>
      <c r="H51">
        <v>1002</v>
      </c>
      <c r="I51">
        <v>6</v>
      </c>
      <c r="J51">
        <v>6746</v>
      </c>
      <c r="K51">
        <v>999</v>
      </c>
      <c r="L51">
        <v>6779</v>
      </c>
      <c r="M51">
        <v>1015</v>
      </c>
      <c r="N51">
        <v>6508</v>
      </c>
      <c r="O51">
        <v>1024</v>
      </c>
      <c r="P51">
        <v>6914</v>
      </c>
      <c r="Q51">
        <v>1020</v>
      </c>
      <c r="R51" s="17">
        <f t="shared" si="0"/>
        <v>1908896.0916856467</v>
      </c>
      <c r="S51" s="3">
        <v>0.6</v>
      </c>
      <c r="T51" s="17">
        <f t="shared" si="1"/>
        <v>1145337.655011388</v>
      </c>
      <c r="U51">
        <v>62635</v>
      </c>
      <c r="V51">
        <v>39098</v>
      </c>
      <c r="W51" s="3">
        <f t="shared" si="2"/>
        <v>234119.76047904193</v>
      </c>
    </row>
    <row r="52" spans="1:23" x14ac:dyDescent="0.25">
      <c r="A52" s="26" t="s">
        <v>461</v>
      </c>
      <c r="B52" t="s">
        <v>23</v>
      </c>
      <c r="C52" t="s">
        <v>46</v>
      </c>
      <c r="D52" t="s">
        <v>358</v>
      </c>
      <c r="E52" t="s">
        <v>170</v>
      </c>
      <c r="F52" s="5">
        <v>5.4</v>
      </c>
      <c r="G52">
        <v>5</v>
      </c>
      <c r="H52">
        <v>1002</v>
      </c>
      <c r="I52">
        <v>6</v>
      </c>
      <c r="J52">
        <v>6108</v>
      </c>
      <c r="K52">
        <v>913</v>
      </c>
      <c r="L52">
        <v>6841</v>
      </c>
      <c r="M52">
        <v>1012</v>
      </c>
      <c r="N52">
        <v>6905</v>
      </c>
      <c r="O52">
        <v>1009</v>
      </c>
      <c r="P52">
        <v>6539</v>
      </c>
      <c r="Q52">
        <v>1016</v>
      </c>
      <c r="R52" s="17">
        <f t="shared" si="0"/>
        <v>1920671.6565150404</v>
      </c>
      <c r="S52" s="3">
        <v>0.6</v>
      </c>
      <c r="T52" s="17">
        <f t="shared" si="1"/>
        <v>1152402.9939090242</v>
      </c>
      <c r="U52">
        <v>54116</v>
      </c>
      <c r="V52">
        <v>34881</v>
      </c>
      <c r="W52" s="3">
        <f t="shared" si="2"/>
        <v>208868.2634730539</v>
      </c>
    </row>
    <row r="53" spans="1:23" x14ac:dyDescent="0.25">
      <c r="A53" s="26" t="s">
        <v>462</v>
      </c>
      <c r="B53" t="s">
        <v>23</v>
      </c>
      <c r="C53" t="s">
        <v>46</v>
      </c>
      <c r="D53" t="s">
        <v>358</v>
      </c>
      <c r="E53" t="s">
        <v>170</v>
      </c>
      <c r="F53" s="5">
        <v>5.4</v>
      </c>
      <c r="G53">
        <v>10</v>
      </c>
      <c r="H53">
        <v>1002</v>
      </c>
      <c r="I53">
        <v>6</v>
      </c>
      <c r="J53">
        <v>7229</v>
      </c>
      <c r="K53">
        <v>1017</v>
      </c>
      <c r="L53">
        <v>7151</v>
      </c>
      <c r="M53">
        <v>1014</v>
      </c>
      <c r="N53">
        <v>7165</v>
      </c>
      <c r="O53">
        <v>1019</v>
      </c>
      <c r="P53">
        <v>7557</v>
      </c>
      <c r="Q53">
        <v>1024</v>
      </c>
      <c r="R53" s="17">
        <f t="shared" si="0"/>
        <v>2053057.4121401815</v>
      </c>
      <c r="S53" s="3">
        <v>0.6</v>
      </c>
      <c r="T53" s="17">
        <f t="shared" si="1"/>
        <v>1231834.447284109</v>
      </c>
      <c r="U53">
        <v>71746</v>
      </c>
      <c r="V53">
        <v>46013</v>
      </c>
      <c r="W53" s="3">
        <f t="shared" si="2"/>
        <v>275526.94610778446</v>
      </c>
    </row>
    <row r="54" spans="1:23" x14ac:dyDescent="0.25">
      <c r="A54" s="26" t="s">
        <v>463</v>
      </c>
      <c r="B54" t="s">
        <v>23</v>
      </c>
      <c r="C54" t="s">
        <v>46</v>
      </c>
      <c r="D54" t="s">
        <v>358</v>
      </c>
      <c r="E54" t="s">
        <v>170</v>
      </c>
      <c r="F54" s="5">
        <v>5.4</v>
      </c>
      <c r="G54">
        <v>15</v>
      </c>
      <c r="H54">
        <v>1002</v>
      </c>
      <c r="I54">
        <v>6</v>
      </c>
      <c r="J54">
        <v>5706</v>
      </c>
      <c r="K54">
        <v>1015</v>
      </c>
      <c r="L54">
        <v>6540</v>
      </c>
      <c r="M54">
        <v>1044</v>
      </c>
      <c r="N54">
        <v>6071</v>
      </c>
      <c r="O54">
        <v>1019</v>
      </c>
      <c r="P54">
        <v>6100</v>
      </c>
      <c r="Q54">
        <v>1039</v>
      </c>
      <c r="R54" s="17">
        <f>AVERAGE(J54/K54,L54/M54,N54/O54,P54/Q54)*(48000/H54)*I54*1000</f>
        <v>1704062.8236472863</v>
      </c>
      <c r="S54" s="3">
        <v>0.6</v>
      </c>
      <c r="T54" s="17">
        <f t="shared" si="1"/>
        <v>1022437.6941883718</v>
      </c>
      <c r="U54">
        <v>51131</v>
      </c>
      <c r="V54">
        <v>33288</v>
      </c>
      <c r="W54" s="3">
        <f t="shared" si="2"/>
        <v>199329.34131736527</v>
      </c>
    </row>
    <row r="55" spans="1:23" x14ac:dyDescent="0.25">
      <c r="A55" s="26" t="s">
        <v>464</v>
      </c>
      <c r="B55" t="s">
        <v>23</v>
      </c>
      <c r="C55" t="s">
        <v>46</v>
      </c>
      <c r="D55" t="s">
        <v>358</v>
      </c>
      <c r="E55" t="s">
        <v>170</v>
      </c>
      <c r="F55" s="5">
        <v>5.4</v>
      </c>
      <c r="G55">
        <v>30</v>
      </c>
      <c r="H55">
        <v>1002</v>
      </c>
      <c r="I55">
        <v>6</v>
      </c>
      <c r="J55">
        <v>7894</v>
      </c>
      <c r="K55">
        <v>1015</v>
      </c>
      <c r="L55">
        <v>7843</v>
      </c>
      <c r="M55">
        <v>1012</v>
      </c>
      <c r="N55">
        <v>7880</v>
      </c>
      <c r="O55">
        <v>1008</v>
      </c>
      <c r="P55">
        <v>7464</v>
      </c>
      <c r="Q55">
        <v>1015</v>
      </c>
      <c r="R55" s="17">
        <f t="shared" si="0"/>
        <v>2205879.8658839953</v>
      </c>
      <c r="S55" s="3">
        <v>0.6</v>
      </c>
      <c r="T55" s="17">
        <f t="shared" si="1"/>
        <v>1323527.919530397</v>
      </c>
      <c r="U55">
        <v>93955</v>
      </c>
      <c r="V55">
        <v>63304</v>
      </c>
      <c r="W55" s="3">
        <f t="shared" si="2"/>
        <v>379065.86826347309</v>
      </c>
    </row>
    <row r="56" spans="1:23" x14ac:dyDescent="0.25">
      <c r="A56" s="26" t="s">
        <v>465</v>
      </c>
      <c r="B56" t="s">
        <v>23</v>
      </c>
      <c r="C56" t="s">
        <v>47</v>
      </c>
      <c r="D56" t="s">
        <v>358</v>
      </c>
      <c r="E56" t="s">
        <v>170</v>
      </c>
      <c r="F56" s="5">
        <v>5.2380000000000004</v>
      </c>
      <c r="G56">
        <v>0</v>
      </c>
      <c r="H56">
        <v>1002</v>
      </c>
      <c r="I56">
        <v>6</v>
      </c>
      <c r="J56">
        <v>7959</v>
      </c>
      <c r="K56">
        <v>1044</v>
      </c>
      <c r="L56">
        <v>7977</v>
      </c>
      <c r="M56">
        <v>1058</v>
      </c>
      <c r="N56">
        <v>7672</v>
      </c>
      <c r="O56">
        <v>1048</v>
      </c>
      <c r="P56">
        <v>8020</v>
      </c>
      <c r="Q56">
        <v>1044</v>
      </c>
      <c r="R56" s="17">
        <f t="shared" si="0"/>
        <v>2167606.9785708892</v>
      </c>
      <c r="S56" s="3">
        <f>1309300/R56</f>
        <v>0.60403016457495717</v>
      </c>
      <c r="T56" s="17">
        <f t="shared" si="1"/>
        <v>1309299.9999999998</v>
      </c>
      <c r="U56">
        <v>68493</v>
      </c>
      <c r="V56">
        <v>45541</v>
      </c>
      <c r="W56" s="3">
        <f t="shared" si="2"/>
        <v>272700.59880239522</v>
      </c>
    </row>
    <row r="57" spans="1:23" x14ac:dyDescent="0.25">
      <c r="A57" s="26" t="s">
        <v>466</v>
      </c>
      <c r="B57" t="s">
        <v>23</v>
      </c>
      <c r="C57" t="s">
        <v>47</v>
      </c>
      <c r="D57" t="s">
        <v>358</v>
      </c>
      <c r="E57" t="s">
        <v>170</v>
      </c>
      <c r="F57" s="5">
        <v>5.2380000000000004</v>
      </c>
      <c r="G57">
        <v>2</v>
      </c>
      <c r="H57">
        <v>1002</v>
      </c>
      <c r="I57">
        <v>6</v>
      </c>
      <c r="J57">
        <v>8784</v>
      </c>
      <c r="K57">
        <v>1012</v>
      </c>
      <c r="L57">
        <v>8887</v>
      </c>
      <c r="M57">
        <v>1013</v>
      </c>
      <c r="N57">
        <v>8608</v>
      </c>
      <c r="O57">
        <v>1008</v>
      </c>
      <c r="P57">
        <v>9332</v>
      </c>
      <c r="Q57">
        <v>1085</v>
      </c>
      <c r="R57" s="17">
        <f t="shared" si="0"/>
        <v>2485753.1299205162</v>
      </c>
      <c r="S57" s="3">
        <v>0.6</v>
      </c>
      <c r="T57" s="17">
        <f t="shared" si="1"/>
        <v>1491451.8779523096</v>
      </c>
      <c r="U57">
        <v>76281</v>
      </c>
      <c r="V57">
        <v>52144</v>
      </c>
      <c r="W57" s="3">
        <f t="shared" si="2"/>
        <v>312239.52095808386</v>
      </c>
    </row>
    <row r="58" spans="1:23" x14ac:dyDescent="0.25">
      <c r="A58" s="26" t="s">
        <v>467</v>
      </c>
      <c r="B58" t="s">
        <v>23</v>
      </c>
      <c r="C58" t="s">
        <v>47</v>
      </c>
      <c r="D58" t="s">
        <v>358</v>
      </c>
      <c r="E58" t="s">
        <v>170</v>
      </c>
      <c r="F58" s="5">
        <v>5.2380000000000004</v>
      </c>
      <c r="G58">
        <v>5</v>
      </c>
      <c r="H58">
        <v>1002</v>
      </c>
      <c r="I58">
        <v>6</v>
      </c>
      <c r="J58">
        <v>6843</v>
      </c>
      <c r="K58">
        <v>1036</v>
      </c>
      <c r="L58">
        <v>7016</v>
      </c>
      <c r="M58">
        <v>1009</v>
      </c>
      <c r="N58">
        <v>6655</v>
      </c>
      <c r="O58">
        <v>1018</v>
      </c>
      <c r="P58">
        <v>6596</v>
      </c>
      <c r="Q58">
        <v>1015</v>
      </c>
      <c r="R58" s="17">
        <f t="shared" si="0"/>
        <v>1910980.7313025135</v>
      </c>
      <c r="S58" s="3">
        <v>0.6</v>
      </c>
      <c r="T58" s="17">
        <f t="shared" si="1"/>
        <v>1146588.438781508</v>
      </c>
      <c r="U58">
        <v>60294</v>
      </c>
      <c r="V58">
        <v>40059</v>
      </c>
      <c r="W58" s="3">
        <f t="shared" si="2"/>
        <v>239874.25149700599</v>
      </c>
    </row>
    <row r="59" spans="1:23" x14ac:dyDescent="0.25">
      <c r="A59" s="26" t="s">
        <v>468</v>
      </c>
      <c r="B59" t="s">
        <v>23</v>
      </c>
      <c r="C59" t="s">
        <v>47</v>
      </c>
      <c r="D59" t="s">
        <v>358</v>
      </c>
      <c r="E59" t="s">
        <v>170</v>
      </c>
      <c r="F59" s="5">
        <v>5.2380000000000004</v>
      </c>
      <c r="G59">
        <v>10</v>
      </c>
      <c r="H59">
        <v>1002</v>
      </c>
      <c r="I59">
        <v>6</v>
      </c>
      <c r="J59">
        <v>7341</v>
      </c>
      <c r="K59">
        <v>1029</v>
      </c>
      <c r="L59">
        <v>7871</v>
      </c>
      <c r="M59">
        <v>1114</v>
      </c>
      <c r="N59">
        <v>7227</v>
      </c>
      <c r="O59">
        <v>1050</v>
      </c>
      <c r="P59">
        <v>6673</v>
      </c>
      <c r="Q59">
        <v>1012</v>
      </c>
      <c r="R59" s="17">
        <f t="shared" si="0"/>
        <v>1988721.2745482135</v>
      </c>
      <c r="S59" s="3">
        <v>0.6</v>
      </c>
      <c r="T59" s="17">
        <f t="shared" si="1"/>
        <v>1193232.764728928</v>
      </c>
      <c r="U59">
        <v>77369</v>
      </c>
      <c r="V59">
        <v>50684</v>
      </c>
      <c r="W59" s="3">
        <f t="shared" si="2"/>
        <v>303497.00598802394</v>
      </c>
    </row>
    <row r="60" spans="1:23" x14ac:dyDescent="0.25">
      <c r="A60" s="26" t="s">
        <v>469</v>
      </c>
      <c r="B60" t="s">
        <v>23</v>
      </c>
      <c r="C60" t="s">
        <v>47</v>
      </c>
      <c r="D60" t="s">
        <v>358</v>
      </c>
      <c r="E60" t="s">
        <v>170</v>
      </c>
      <c r="F60" s="5">
        <v>5.2380000000000004</v>
      </c>
      <c r="G60">
        <v>15</v>
      </c>
      <c r="H60">
        <v>1002</v>
      </c>
      <c r="I60">
        <v>6</v>
      </c>
      <c r="J60">
        <v>6732</v>
      </c>
      <c r="K60">
        <v>1006</v>
      </c>
      <c r="L60">
        <v>7522</v>
      </c>
      <c r="M60">
        <v>1073</v>
      </c>
      <c r="N60">
        <v>6638</v>
      </c>
      <c r="O60">
        <v>1007</v>
      </c>
      <c r="P60">
        <v>7015</v>
      </c>
      <c r="Q60">
        <v>1026</v>
      </c>
      <c r="R60" s="17">
        <f t="shared" si="0"/>
        <v>1949546.5514231776</v>
      </c>
      <c r="S60" s="3">
        <v>0.6</v>
      </c>
      <c r="T60" s="17">
        <f t="shared" si="1"/>
        <v>1169727.9308539066</v>
      </c>
      <c r="U60">
        <v>69358</v>
      </c>
      <c r="V60">
        <v>46462</v>
      </c>
      <c r="W60" s="3">
        <f t="shared" si="2"/>
        <v>278215.56886227545</v>
      </c>
    </row>
    <row r="61" spans="1:23" x14ac:dyDescent="0.25">
      <c r="A61" s="26" t="s">
        <v>470</v>
      </c>
      <c r="B61" t="s">
        <v>23</v>
      </c>
      <c r="C61" t="s">
        <v>47</v>
      </c>
      <c r="D61" t="s">
        <v>358</v>
      </c>
      <c r="E61" t="s">
        <v>170</v>
      </c>
      <c r="F61" s="5">
        <v>5.2380000000000004</v>
      </c>
      <c r="G61">
        <v>30</v>
      </c>
      <c r="H61">
        <v>1002</v>
      </c>
      <c r="I61">
        <v>6</v>
      </c>
      <c r="J61">
        <v>5995</v>
      </c>
      <c r="K61">
        <v>1014</v>
      </c>
      <c r="L61">
        <v>6073</v>
      </c>
      <c r="M61">
        <v>1005</v>
      </c>
      <c r="N61">
        <v>6260</v>
      </c>
      <c r="O61">
        <v>1004</v>
      </c>
      <c r="P61">
        <v>5578</v>
      </c>
      <c r="Q61">
        <v>1008</v>
      </c>
      <c r="R61" s="17">
        <f t="shared" si="0"/>
        <v>1704704.5355340543</v>
      </c>
      <c r="S61" s="3">
        <v>0.6</v>
      </c>
      <c r="T61" s="17">
        <f t="shared" si="1"/>
        <v>1022822.7213204325</v>
      </c>
      <c r="U61">
        <v>80185</v>
      </c>
      <c r="V61">
        <v>53187</v>
      </c>
      <c r="W61" s="3">
        <f t="shared" si="2"/>
        <v>318485.02994011977</v>
      </c>
    </row>
    <row r="62" spans="1:23" x14ac:dyDescent="0.25">
      <c r="A62" s="26" t="s">
        <v>471</v>
      </c>
      <c r="B62" t="s">
        <v>23</v>
      </c>
      <c r="C62" t="s">
        <v>48</v>
      </c>
      <c r="D62" t="s">
        <v>358</v>
      </c>
      <c r="E62" t="s">
        <v>170</v>
      </c>
      <c r="F62" s="5">
        <v>4.8049999999999997</v>
      </c>
      <c r="G62">
        <v>0</v>
      </c>
      <c r="H62">
        <v>1002</v>
      </c>
      <c r="I62">
        <v>6</v>
      </c>
      <c r="J62">
        <v>7693</v>
      </c>
      <c r="K62">
        <v>1014</v>
      </c>
      <c r="L62">
        <v>8668</v>
      </c>
      <c r="M62">
        <v>1085</v>
      </c>
      <c r="N62">
        <v>8734</v>
      </c>
      <c r="O62">
        <v>1044</v>
      </c>
      <c r="P62">
        <v>8255</v>
      </c>
      <c r="Q62">
        <v>1034</v>
      </c>
      <c r="R62" s="17">
        <f t="shared" si="0"/>
        <v>2294025.232050315</v>
      </c>
      <c r="S62" s="3">
        <f>1309300/R62</f>
        <v>0.57074350434663534</v>
      </c>
      <c r="T62" s="17">
        <f t="shared" si="1"/>
        <v>1309300.0000000002</v>
      </c>
      <c r="U62">
        <v>71246</v>
      </c>
      <c r="V62">
        <v>46027</v>
      </c>
      <c r="W62" s="3">
        <f t="shared" si="2"/>
        <v>275610.77844311378</v>
      </c>
    </row>
    <row r="63" spans="1:23" x14ac:dyDescent="0.25">
      <c r="A63" s="26" t="s">
        <v>472</v>
      </c>
      <c r="B63" t="s">
        <v>23</v>
      </c>
      <c r="C63" t="s">
        <v>48</v>
      </c>
      <c r="D63" t="s">
        <v>358</v>
      </c>
      <c r="E63" t="s">
        <v>170</v>
      </c>
      <c r="F63" s="5">
        <v>4.8049999999999997</v>
      </c>
      <c r="G63">
        <v>2</v>
      </c>
      <c r="H63">
        <v>1002</v>
      </c>
      <c r="I63">
        <v>6</v>
      </c>
      <c r="J63">
        <v>7652</v>
      </c>
      <c r="K63">
        <v>1029</v>
      </c>
      <c r="L63">
        <v>7509</v>
      </c>
      <c r="M63">
        <v>1008</v>
      </c>
      <c r="N63">
        <v>7417</v>
      </c>
      <c r="O63">
        <v>1006</v>
      </c>
      <c r="P63">
        <v>7419</v>
      </c>
      <c r="Q63">
        <v>1013</v>
      </c>
      <c r="R63" s="17">
        <f t="shared" si="0"/>
        <v>2125674.6013636789</v>
      </c>
      <c r="S63" s="3">
        <v>0.56999999999999995</v>
      </c>
      <c r="T63" s="17">
        <f t="shared" si="1"/>
        <v>1211634.5227772968</v>
      </c>
      <c r="U63">
        <v>64198</v>
      </c>
      <c r="V63">
        <v>41807</v>
      </c>
      <c r="W63" s="3">
        <f t="shared" si="2"/>
        <v>250341.31736526947</v>
      </c>
    </row>
    <row r="64" spans="1:23" x14ac:dyDescent="0.25">
      <c r="A64" s="26" t="s">
        <v>473</v>
      </c>
      <c r="B64" t="s">
        <v>23</v>
      </c>
      <c r="C64" t="s">
        <v>48</v>
      </c>
      <c r="D64" t="s">
        <v>358</v>
      </c>
      <c r="E64" t="s">
        <v>170</v>
      </c>
      <c r="F64" s="5">
        <v>4.8049999999999997</v>
      </c>
      <c r="G64">
        <v>5</v>
      </c>
      <c r="H64">
        <v>1002</v>
      </c>
      <c r="I64">
        <v>6</v>
      </c>
      <c r="J64">
        <v>6399</v>
      </c>
      <c r="K64">
        <v>1078</v>
      </c>
      <c r="L64">
        <v>6266</v>
      </c>
      <c r="M64">
        <v>1067</v>
      </c>
      <c r="N64">
        <v>6175</v>
      </c>
      <c r="O64">
        <v>1038</v>
      </c>
      <c r="P64">
        <v>6203</v>
      </c>
      <c r="Q64">
        <v>1083</v>
      </c>
      <c r="R64" s="17">
        <f t="shared" si="0"/>
        <v>1687550.7431010881</v>
      </c>
      <c r="S64" s="3">
        <v>0.56999999999999995</v>
      </c>
      <c r="T64" s="17">
        <f t="shared" si="1"/>
        <v>961903.92356762011</v>
      </c>
      <c r="U64">
        <v>75369</v>
      </c>
      <c r="V64">
        <v>48537</v>
      </c>
      <c r="W64" s="3">
        <f t="shared" si="2"/>
        <v>290640.71856287424</v>
      </c>
    </row>
    <row r="65" spans="1:23" x14ac:dyDescent="0.25">
      <c r="A65" s="26" t="s">
        <v>474</v>
      </c>
      <c r="B65" t="s">
        <v>23</v>
      </c>
      <c r="C65" t="s">
        <v>48</v>
      </c>
      <c r="D65" t="s">
        <v>358</v>
      </c>
      <c r="E65" t="s">
        <v>170</v>
      </c>
      <c r="F65" s="5">
        <v>4.8049999999999997</v>
      </c>
      <c r="G65">
        <v>10</v>
      </c>
      <c r="H65">
        <v>1002</v>
      </c>
      <c r="I65">
        <v>6</v>
      </c>
      <c r="J65">
        <v>6330</v>
      </c>
      <c r="K65">
        <v>1008</v>
      </c>
      <c r="L65">
        <v>6674</v>
      </c>
      <c r="M65">
        <v>1020</v>
      </c>
      <c r="N65">
        <v>6510</v>
      </c>
      <c r="O65">
        <v>1020</v>
      </c>
      <c r="P65">
        <v>6338</v>
      </c>
      <c r="Q65">
        <v>1013</v>
      </c>
      <c r="R65" s="17">
        <f t="shared" si="0"/>
        <v>1829598.7169066516</v>
      </c>
      <c r="S65" s="3">
        <v>0.56999999999999995</v>
      </c>
      <c r="T65" s="17">
        <f t="shared" si="1"/>
        <v>1042871.2686367914</v>
      </c>
      <c r="U65">
        <v>71293</v>
      </c>
      <c r="V65">
        <v>46885</v>
      </c>
      <c r="W65" s="3">
        <f t="shared" si="2"/>
        <v>280748.50299401197</v>
      </c>
    </row>
    <row r="66" spans="1:23" x14ac:dyDescent="0.25">
      <c r="A66" s="26" t="s">
        <v>475</v>
      </c>
      <c r="B66" t="s">
        <v>23</v>
      </c>
      <c r="C66" t="s">
        <v>48</v>
      </c>
      <c r="D66" t="s">
        <v>358</v>
      </c>
      <c r="E66" t="s">
        <v>170</v>
      </c>
      <c r="F66" s="5">
        <v>4.8049999999999997</v>
      </c>
      <c r="G66">
        <v>15</v>
      </c>
      <c r="H66">
        <v>1002</v>
      </c>
      <c r="I66">
        <v>6</v>
      </c>
      <c r="J66">
        <v>6508</v>
      </c>
      <c r="K66">
        <v>1018</v>
      </c>
      <c r="L66">
        <v>6285</v>
      </c>
      <c r="M66">
        <v>1023</v>
      </c>
      <c r="N66">
        <v>6402</v>
      </c>
      <c r="O66">
        <v>1046</v>
      </c>
      <c r="P66">
        <v>6197</v>
      </c>
      <c r="Q66">
        <v>1027</v>
      </c>
      <c r="R66" s="17">
        <f t="shared" si="0"/>
        <v>1774215.1658680602</v>
      </c>
      <c r="S66" s="3">
        <v>0.56999999999999995</v>
      </c>
      <c r="T66" s="17">
        <f t="shared" si="1"/>
        <v>1011302.6445447942</v>
      </c>
      <c r="U66">
        <v>73416</v>
      </c>
      <c r="V66">
        <v>48005</v>
      </c>
      <c r="W66" s="3">
        <f t="shared" si="2"/>
        <v>287455.08982035925</v>
      </c>
    </row>
    <row r="67" spans="1:23" x14ac:dyDescent="0.25">
      <c r="A67" s="26" t="s">
        <v>476</v>
      </c>
      <c r="B67" t="s">
        <v>23</v>
      </c>
      <c r="C67" t="s">
        <v>48</v>
      </c>
      <c r="D67" t="s">
        <v>358</v>
      </c>
      <c r="E67" t="s">
        <v>170</v>
      </c>
      <c r="F67" s="5">
        <v>4.8049999999999997</v>
      </c>
      <c r="G67">
        <v>30</v>
      </c>
      <c r="H67">
        <v>1002</v>
      </c>
      <c r="I67">
        <v>6</v>
      </c>
      <c r="J67">
        <v>5981</v>
      </c>
      <c r="K67">
        <v>1013</v>
      </c>
      <c r="L67">
        <v>5895</v>
      </c>
      <c r="M67">
        <v>1048</v>
      </c>
      <c r="N67">
        <v>6338</v>
      </c>
      <c r="O67">
        <v>1035</v>
      </c>
      <c r="P67">
        <v>5730</v>
      </c>
      <c r="Q67">
        <v>1008</v>
      </c>
      <c r="R67" s="17">
        <f t="shared" ref="R67:R130" si="3">AVERAGE(J67/K67,L67/M67,N67/O67,P67/Q67)*(48000/H67)*I67*1000</f>
        <v>1676941.805352035</v>
      </c>
      <c r="S67" s="3">
        <v>0.56999999999999995</v>
      </c>
      <c r="T67" s="17">
        <f t="shared" ref="T67:T130" si="4">R67*S67</f>
        <v>955856.8290506599</v>
      </c>
      <c r="U67">
        <v>70448</v>
      </c>
      <c r="V67">
        <v>47100</v>
      </c>
      <c r="W67" s="3">
        <f t="shared" ref="W67:W130" si="5">V67*I67/H67*1000</f>
        <v>282035.92814371258</v>
      </c>
    </row>
    <row r="68" spans="1:23" x14ac:dyDescent="0.25">
      <c r="A68" s="26" t="s">
        <v>477</v>
      </c>
      <c r="B68" t="s">
        <v>23</v>
      </c>
      <c r="C68" t="s">
        <v>48</v>
      </c>
      <c r="D68" t="s">
        <v>358</v>
      </c>
      <c r="E68" t="s">
        <v>170</v>
      </c>
      <c r="F68" s="5">
        <v>4.8049999999999997</v>
      </c>
      <c r="G68">
        <v>45</v>
      </c>
      <c r="H68">
        <v>1000</v>
      </c>
      <c r="I68">
        <v>2</v>
      </c>
      <c r="J68">
        <v>6455</v>
      </c>
      <c r="K68">
        <v>1012</v>
      </c>
      <c r="L68">
        <v>8587</v>
      </c>
      <c r="M68">
        <v>1016</v>
      </c>
      <c r="N68">
        <v>7937</v>
      </c>
      <c r="O68">
        <v>1015</v>
      </c>
      <c r="P68">
        <v>10496</v>
      </c>
      <c r="Q68">
        <v>1283</v>
      </c>
      <c r="R68" s="17">
        <f>AVERAGE(J68/K68,L68/M68,N68/O68,P68/Q68)*(48000/H68)*I68*1000</f>
        <v>739938.25856843952</v>
      </c>
      <c r="S68" s="3">
        <v>0.56999999999999995</v>
      </c>
      <c r="T68" s="17">
        <f t="shared" si="4"/>
        <v>421764.80738401046</v>
      </c>
      <c r="U68">
        <v>165961</v>
      </c>
      <c r="V68">
        <v>151385</v>
      </c>
      <c r="W68" s="3">
        <f t="shared" si="5"/>
        <v>302770</v>
      </c>
    </row>
    <row r="69" spans="1:23" x14ac:dyDescent="0.25">
      <c r="A69" s="26" t="s">
        <v>478</v>
      </c>
      <c r="B69" t="s">
        <v>23</v>
      </c>
      <c r="C69" t="s">
        <v>48</v>
      </c>
      <c r="D69" t="s">
        <v>358</v>
      </c>
      <c r="E69" t="s">
        <v>170</v>
      </c>
      <c r="F69" s="5">
        <v>4.8049999999999997</v>
      </c>
      <c r="G69">
        <v>60</v>
      </c>
      <c r="H69">
        <v>1000</v>
      </c>
      <c r="I69">
        <v>2</v>
      </c>
      <c r="J69">
        <v>8674</v>
      </c>
      <c r="K69">
        <v>1011</v>
      </c>
      <c r="L69">
        <v>7866</v>
      </c>
      <c r="M69">
        <v>1012</v>
      </c>
      <c r="N69">
        <v>7402</v>
      </c>
      <c r="O69">
        <v>1010</v>
      </c>
      <c r="P69">
        <v>7251</v>
      </c>
      <c r="Q69">
        <v>1019</v>
      </c>
      <c r="R69" s="17">
        <f t="shared" si="3"/>
        <v>739124.73797433171</v>
      </c>
      <c r="S69" s="3">
        <v>0.56999999999999995</v>
      </c>
      <c r="T69" s="17">
        <f t="shared" si="4"/>
        <v>421301.10064536904</v>
      </c>
      <c r="U69">
        <v>118292</v>
      </c>
      <c r="V69">
        <v>105497</v>
      </c>
      <c r="W69" s="3">
        <f t="shared" si="5"/>
        <v>210994</v>
      </c>
    </row>
    <row r="70" spans="1:23" x14ac:dyDescent="0.25">
      <c r="A70" s="26" t="s">
        <v>479</v>
      </c>
      <c r="B70" t="s">
        <v>23</v>
      </c>
      <c r="C70" t="s">
        <v>49</v>
      </c>
      <c r="D70" t="s">
        <v>358</v>
      </c>
      <c r="E70" t="s">
        <v>170</v>
      </c>
      <c r="F70" s="5">
        <v>4.5659999999999998</v>
      </c>
      <c r="G70">
        <v>0</v>
      </c>
      <c r="H70">
        <v>1002</v>
      </c>
      <c r="I70">
        <v>6</v>
      </c>
      <c r="J70">
        <v>13033</v>
      </c>
      <c r="K70">
        <v>1675</v>
      </c>
      <c r="L70">
        <v>7530</v>
      </c>
      <c r="M70">
        <v>1007</v>
      </c>
      <c r="N70">
        <v>7458</v>
      </c>
      <c r="O70">
        <v>1015</v>
      </c>
      <c r="P70">
        <v>8046</v>
      </c>
      <c r="Q70">
        <v>1089</v>
      </c>
      <c r="R70" s="17">
        <f t="shared" si="3"/>
        <v>2155312.4501209264</v>
      </c>
      <c r="S70" s="3">
        <f>1309300/R70</f>
        <v>0.60747572813702266</v>
      </c>
      <c r="T70" s="17">
        <f t="shared" si="4"/>
        <v>1309300</v>
      </c>
      <c r="U70">
        <v>62837</v>
      </c>
      <c r="V70">
        <v>40980</v>
      </c>
      <c r="W70" s="3">
        <f t="shared" si="5"/>
        <v>245389.22155688624</v>
      </c>
    </row>
    <row r="71" spans="1:23" x14ac:dyDescent="0.25">
      <c r="A71" s="26" t="s">
        <v>480</v>
      </c>
      <c r="B71" t="s">
        <v>23</v>
      </c>
      <c r="C71" t="s">
        <v>49</v>
      </c>
      <c r="D71" t="s">
        <v>358</v>
      </c>
      <c r="E71" t="s">
        <v>170</v>
      </c>
      <c r="F71" s="5">
        <v>4.5659999999999998</v>
      </c>
      <c r="G71">
        <v>2</v>
      </c>
      <c r="H71">
        <v>1002</v>
      </c>
      <c r="I71">
        <v>6</v>
      </c>
      <c r="J71">
        <v>6499</v>
      </c>
      <c r="K71">
        <v>1010</v>
      </c>
      <c r="L71">
        <v>6683</v>
      </c>
      <c r="M71">
        <v>1006</v>
      </c>
      <c r="N71">
        <v>7079</v>
      </c>
      <c r="O71">
        <v>1073</v>
      </c>
      <c r="P71">
        <v>6787</v>
      </c>
      <c r="Q71">
        <v>1008</v>
      </c>
      <c r="R71" s="17">
        <f t="shared" si="3"/>
        <v>1897603.8347069595</v>
      </c>
      <c r="S71" s="3">
        <v>0.61</v>
      </c>
      <c r="T71" s="17">
        <f t="shared" si="4"/>
        <v>1157538.3391712452</v>
      </c>
      <c r="U71">
        <v>59715</v>
      </c>
      <c r="V71">
        <v>39853</v>
      </c>
      <c r="W71" s="3">
        <f t="shared" si="5"/>
        <v>238640.71856287424</v>
      </c>
    </row>
    <row r="72" spans="1:23" x14ac:dyDescent="0.25">
      <c r="A72" s="26" t="s">
        <v>481</v>
      </c>
      <c r="B72" t="s">
        <v>23</v>
      </c>
      <c r="C72" t="s">
        <v>49</v>
      </c>
      <c r="D72" t="s">
        <v>358</v>
      </c>
      <c r="E72" t="s">
        <v>170</v>
      </c>
      <c r="F72" s="5">
        <v>4.5659999999999998</v>
      </c>
      <c r="G72">
        <v>5</v>
      </c>
      <c r="H72">
        <v>1002</v>
      </c>
      <c r="I72">
        <v>6</v>
      </c>
      <c r="J72">
        <v>7484</v>
      </c>
      <c r="K72">
        <v>1017</v>
      </c>
      <c r="L72">
        <v>7859</v>
      </c>
      <c r="M72">
        <v>1001</v>
      </c>
      <c r="N72">
        <v>7508</v>
      </c>
      <c r="O72">
        <v>1014</v>
      </c>
      <c r="P72">
        <v>6989</v>
      </c>
      <c r="Q72">
        <v>1018</v>
      </c>
      <c r="R72" s="17">
        <f t="shared" si="3"/>
        <v>2118309.6445673611</v>
      </c>
      <c r="S72" s="3">
        <v>0.61</v>
      </c>
      <c r="T72" s="17">
        <f t="shared" si="4"/>
        <v>1292168.8831860903</v>
      </c>
      <c r="U72">
        <v>58908</v>
      </c>
      <c r="V72">
        <v>39592</v>
      </c>
      <c r="W72" s="3">
        <f t="shared" si="5"/>
        <v>237077.84431137724</v>
      </c>
    </row>
    <row r="73" spans="1:23" x14ac:dyDescent="0.25">
      <c r="A73" s="26" t="s">
        <v>482</v>
      </c>
      <c r="B73" t="s">
        <v>23</v>
      </c>
      <c r="C73" t="s">
        <v>49</v>
      </c>
      <c r="D73" t="s">
        <v>358</v>
      </c>
      <c r="E73" t="s">
        <v>170</v>
      </c>
      <c r="F73" s="5">
        <v>4.5659999999999998</v>
      </c>
      <c r="G73">
        <v>10</v>
      </c>
      <c r="H73">
        <v>1002</v>
      </c>
      <c r="I73">
        <v>6</v>
      </c>
      <c r="J73">
        <v>6657</v>
      </c>
      <c r="K73">
        <v>1025</v>
      </c>
      <c r="L73">
        <v>6438</v>
      </c>
      <c r="M73">
        <v>1015</v>
      </c>
      <c r="N73">
        <v>6850</v>
      </c>
      <c r="O73">
        <v>1025</v>
      </c>
      <c r="P73">
        <v>6643</v>
      </c>
      <c r="Q73">
        <v>1016</v>
      </c>
      <c r="R73" s="17">
        <f t="shared" si="3"/>
        <v>1872488.9062446863</v>
      </c>
      <c r="S73" s="3">
        <v>0.61</v>
      </c>
      <c r="T73" s="17">
        <f t="shared" si="4"/>
        <v>1142218.2328092586</v>
      </c>
      <c r="U73">
        <v>54274</v>
      </c>
      <c r="V73">
        <v>36282</v>
      </c>
      <c r="W73" s="3">
        <f t="shared" si="5"/>
        <v>217257.48502994012</v>
      </c>
    </row>
    <row r="74" spans="1:23" x14ac:dyDescent="0.25">
      <c r="A74" s="26" t="s">
        <v>483</v>
      </c>
      <c r="B74" t="s">
        <v>23</v>
      </c>
      <c r="C74" t="s">
        <v>49</v>
      </c>
      <c r="D74" t="s">
        <v>358</v>
      </c>
      <c r="E74" t="s">
        <v>170</v>
      </c>
      <c r="F74" s="5">
        <v>4.5659999999999998</v>
      </c>
      <c r="G74">
        <v>15</v>
      </c>
      <c r="H74">
        <v>1002</v>
      </c>
      <c r="I74">
        <v>6</v>
      </c>
      <c r="J74">
        <v>6381</v>
      </c>
      <c r="K74">
        <v>1010</v>
      </c>
      <c r="L74">
        <v>6100</v>
      </c>
      <c r="M74">
        <v>1017</v>
      </c>
      <c r="N74">
        <v>6049</v>
      </c>
      <c r="O74">
        <v>1004</v>
      </c>
      <c r="P74">
        <v>6520</v>
      </c>
      <c r="Q74">
        <v>1013</v>
      </c>
      <c r="R74" s="17">
        <f t="shared" si="3"/>
        <v>1780389.2228719254</v>
      </c>
      <c r="S74" s="3">
        <v>0.61</v>
      </c>
      <c r="T74" s="17">
        <f t="shared" si="4"/>
        <v>1086037.4259518746</v>
      </c>
      <c r="U74">
        <v>65879</v>
      </c>
      <c r="V74">
        <v>45607</v>
      </c>
      <c r="W74" s="3">
        <f t="shared" si="5"/>
        <v>273095.80838323355</v>
      </c>
    </row>
    <row r="75" spans="1:23" x14ac:dyDescent="0.25">
      <c r="A75" s="26" t="s">
        <v>484</v>
      </c>
      <c r="B75" t="s">
        <v>23</v>
      </c>
      <c r="C75" t="s">
        <v>49</v>
      </c>
      <c r="D75" t="s">
        <v>358</v>
      </c>
      <c r="E75" t="s">
        <v>170</v>
      </c>
      <c r="F75" s="5">
        <v>4.5659999999999998</v>
      </c>
      <c r="G75">
        <v>30</v>
      </c>
      <c r="H75">
        <v>1002</v>
      </c>
      <c r="I75">
        <v>6</v>
      </c>
      <c r="J75">
        <v>4084</v>
      </c>
      <c r="K75">
        <v>996</v>
      </c>
      <c r="L75">
        <v>4322</v>
      </c>
      <c r="M75">
        <v>1015</v>
      </c>
      <c r="N75">
        <v>3791</v>
      </c>
      <c r="O75">
        <v>1016</v>
      </c>
      <c r="P75">
        <v>4117</v>
      </c>
      <c r="Q75">
        <v>1023</v>
      </c>
      <c r="R75" s="17">
        <f t="shared" si="3"/>
        <v>1157911.3886590849</v>
      </c>
      <c r="S75" s="3">
        <v>0.61</v>
      </c>
      <c r="T75" s="17">
        <f t="shared" si="4"/>
        <v>706325.94708204176</v>
      </c>
      <c r="U75">
        <v>42577</v>
      </c>
      <c r="V75">
        <v>27601</v>
      </c>
      <c r="W75" s="3">
        <f t="shared" si="5"/>
        <v>165275.4491017964</v>
      </c>
    </row>
    <row r="76" spans="1:23" x14ac:dyDescent="0.25">
      <c r="A76" s="26" t="s">
        <v>485</v>
      </c>
      <c r="B76" t="s">
        <v>23</v>
      </c>
      <c r="C76" t="s">
        <v>49</v>
      </c>
      <c r="D76" t="s">
        <v>358</v>
      </c>
      <c r="E76" t="s">
        <v>170</v>
      </c>
      <c r="F76" s="5">
        <v>4.5659999999999998</v>
      </c>
      <c r="G76">
        <v>45</v>
      </c>
      <c r="H76">
        <v>1000</v>
      </c>
      <c r="I76">
        <v>2</v>
      </c>
      <c r="J76">
        <v>9763</v>
      </c>
      <c r="K76">
        <v>1009</v>
      </c>
      <c r="L76">
        <v>10053</v>
      </c>
      <c r="M76">
        <v>1014</v>
      </c>
      <c r="N76">
        <v>10199</v>
      </c>
      <c r="O76">
        <v>997</v>
      </c>
      <c r="P76">
        <v>9880</v>
      </c>
      <c r="Q76">
        <v>1016</v>
      </c>
      <c r="R76" s="17">
        <f t="shared" si="3"/>
        <v>949061.19476901949</v>
      </c>
      <c r="S76" s="3">
        <v>0.61</v>
      </c>
      <c r="T76" s="17">
        <f t="shared" si="4"/>
        <v>578927.32880910183</v>
      </c>
      <c r="U76">
        <v>97931</v>
      </c>
      <c r="V76">
        <v>84224</v>
      </c>
      <c r="W76" s="3">
        <f t="shared" si="5"/>
        <v>168448</v>
      </c>
    </row>
    <row r="77" spans="1:23" x14ac:dyDescent="0.25">
      <c r="A77" s="26" t="s">
        <v>486</v>
      </c>
      <c r="B77" t="s">
        <v>23</v>
      </c>
      <c r="C77" t="s">
        <v>49</v>
      </c>
      <c r="D77" t="s">
        <v>358</v>
      </c>
      <c r="E77" t="s">
        <v>170</v>
      </c>
      <c r="F77" s="5">
        <v>4.5659999999999998</v>
      </c>
      <c r="G77">
        <v>60</v>
      </c>
      <c r="H77">
        <v>1000</v>
      </c>
      <c r="I77">
        <v>2</v>
      </c>
      <c r="J77">
        <v>8673</v>
      </c>
      <c r="K77">
        <v>1005</v>
      </c>
      <c r="L77">
        <v>8742</v>
      </c>
      <c r="M77">
        <v>1017</v>
      </c>
      <c r="N77">
        <v>8465</v>
      </c>
      <c r="O77">
        <v>1011</v>
      </c>
      <c r="P77">
        <v>7807</v>
      </c>
      <c r="Q77">
        <v>1009</v>
      </c>
      <c r="R77" s="17">
        <f t="shared" si="3"/>
        <v>800063.58719742659</v>
      </c>
      <c r="S77" s="3">
        <v>0.61</v>
      </c>
      <c r="T77" s="17">
        <f t="shared" si="4"/>
        <v>488038.7881904302</v>
      </c>
      <c r="U77">
        <v>104493</v>
      </c>
      <c r="V77">
        <v>92320</v>
      </c>
      <c r="W77" s="3">
        <f t="shared" si="5"/>
        <v>184640</v>
      </c>
    </row>
    <row r="78" spans="1:23" x14ac:dyDescent="0.25">
      <c r="A78" s="26" t="s">
        <v>487</v>
      </c>
      <c r="B78" t="s">
        <v>23</v>
      </c>
      <c r="C78" t="s">
        <v>50</v>
      </c>
      <c r="D78" t="s">
        <v>358</v>
      </c>
      <c r="E78" t="s">
        <v>170</v>
      </c>
      <c r="F78" s="5">
        <v>4.0869999999999997</v>
      </c>
      <c r="G78">
        <v>0</v>
      </c>
      <c r="H78">
        <v>1002</v>
      </c>
      <c r="I78">
        <v>6</v>
      </c>
      <c r="J78">
        <v>8681</v>
      </c>
      <c r="K78">
        <v>1012</v>
      </c>
      <c r="L78">
        <v>9312</v>
      </c>
      <c r="M78">
        <v>1002</v>
      </c>
      <c r="N78">
        <v>8524</v>
      </c>
      <c r="O78">
        <v>1014</v>
      </c>
      <c r="P78">
        <v>8827</v>
      </c>
      <c r="Q78">
        <v>1008</v>
      </c>
      <c r="R78" s="17">
        <f t="shared" si="3"/>
        <v>2517465.8081162679</v>
      </c>
      <c r="S78" s="3">
        <f>1309300/R78</f>
        <v>0.52008650754216346</v>
      </c>
      <c r="T78" s="17">
        <f t="shared" si="4"/>
        <v>1309300</v>
      </c>
      <c r="U78">
        <v>76654</v>
      </c>
      <c r="V78">
        <v>50825</v>
      </c>
      <c r="W78" s="3">
        <f t="shared" si="5"/>
        <v>304341.31736526947</v>
      </c>
    </row>
    <row r="79" spans="1:23" x14ac:dyDescent="0.25">
      <c r="A79" s="26" t="s">
        <v>488</v>
      </c>
      <c r="B79" t="s">
        <v>23</v>
      </c>
      <c r="C79" t="s">
        <v>50</v>
      </c>
      <c r="D79" t="s">
        <v>358</v>
      </c>
      <c r="E79" t="s">
        <v>170</v>
      </c>
      <c r="F79" s="5">
        <v>4.0869999999999997</v>
      </c>
      <c r="G79">
        <v>2</v>
      </c>
      <c r="H79">
        <v>1002</v>
      </c>
      <c r="I79">
        <v>6</v>
      </c>
      <c r="J79" t="s">
        <v>40</v>
      </c>
      <c r="K79" t="s">
        <v>40</v>
      </c>
      <c r="L79" t="s">
        <v>40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s="17" t="e">
        <f t="shared" si="3"/>
        <v>#VALUE!</v>
      </c>
      <c r="S79" s="3">
        <v>0.52</v>
      </c>
      <c r="T79" s="17" t="e">
        <f t="shared" si="4"/>
        <v>#VALUE!</v>
      </c>
      <c r="U79" t="s">
        <v>40</v>
      </c>
      <c r="V79" t="s">
        <v>40</v>
      </c>
      <c r="W79" s="3" t="e">
        <f t="shared" si="5"/>
        <v>#VALUE!</v>
      </c>
    </row>
    <row r="80" spans="1:23" x14ac:dyDescent="0.25">
      <c r="A80" s="26" t="s">
        <v>489</v>
      </c>
      <c r="B80" t="s">
        <v>23</v>
      </c>
      <c r="C80" t="s">
        <v>50</v>
      </c>
      <c r="D80" t="s">
        <v>358</v>
      </c>
      <c r="E80" t="s">
        <v>170</v>
      </c>
      <c r="F80" s="5">
        <v>4.0869999999999997</v>
      </c>
      <c r="G80">
        <v>5</v>
      </c>
      <c r="H80">
        <v>1002</v>
      </c>
      <c r="I80">
        <v>6</v>
      </c>
      <c r="J80">
        <v>6714</v>
      </c>
      <c r="K80">
        <v>1006</v>
      </c>
      <c r="L80">
        <v>8869</v>
      </c>
      <c r="M80">
        <v>1313</v>
      </c>
      <c r="N80">
        <v>6717</v>
      </c>
      <c r="O80">
        <v>1002</v>
      </c>
      <c r="P80">
        <v>7228</v>
      </c>
      <c r="Q80">
        <v>1003</v>
      </c>
      <c r="R80" s="17">
        <f t="shared" si="3"/>
        <v>1964456.7683078931</v>
      </c>
      <c r="S80" s="3">
        <v>0.52</v>
      </c>
      <c r="T80" s="17">
        <f t="shared" si="4"/>
        <v>1021517.5195201044</v>
      </c>
      <c r="U80">
        <v>82200</v>
      </c>
      <c r="V80">
        <v>56979</v>
      </c>
      <c r="W80" s="3">
        <f t="shared" si="5"/>
        <v>341191.61676646705</v>
      </c>
    </row>
    <row r="81" spans="1:23" x14ac:dyDescent="0.25">
      <c r="A81" s="26" t="s">
        <v>490</v>
      </c>
      <c r="B81" t="s">
        <v>23</v>
      </c>
      <c r="C81" t="s">
        <v>50</v>
      </c>
      <c r="D81" t="s">
        <v>358</v>
      </c>
      <c r="E81" t="s">
        <v>170</v>
      </c>
      <c r="F81" s="5">
        <v>4.0869999999999997</v>
      </c>
      <c r="G81">
        <v>10</v>
      </c>
      <c r="H81">
        <v>1002</v>
      </c>
      <c r="I81">
        <v>6</v>
      </c>
      <c r="J81">
        <v>5837</v>
      </c>
      <c r="K81">
        <v>1012</v>
      </c>
      <c r="L81">
        <v>5920</v>
      </c>
      <c r="M81">
        <v>1019</v>
      </c>
      <c r="N81">
        <v>5414</v>
      </c>
      <c r="O81">
        <v>994</v>
      </c>
      <c r="P81">
        <v>6147</v>
      </c>
      <c r="Q81">
        <v>1011</v>
      </c>
      <c r="R81" s="17">
        <f t="shared" si="3"/>
        <v>1660182.2233253797</v>
      </c>
      <c r="S81" s="3">
        <v>0.52</v>
      </c>
      <c r="T81" s="17">
        <f t="shared" si="4"/>
        <v>863294.75612919743</v>
      </c>
      <c r="U81">
        <v>55822</v>
      </c>
      <c r="V81">
        <v>36286</v>
      </c>
      <c r="W81" s="3">
        <f t="shared" si="5"/>
        <v>217281.43712574852</v>
      </c>
    </row>
    <row r="82" spans="1:23" x14ac:dyDescent="0.25">
      <c r="A82" s="26" t="s">
        <v>491</v>
      </c>
      <c r="B82" t="s">
        <v>23</v>
      </c>
      <c r="C82" t="s">
        <v>50</v>
      </c>
      <c r="D82" t="s">
        <v>358</v>
      </c>
      <c r="E82" t="s">
        <v>170</v>
      </c>
      <c r="F82" s="5">
        <v>4.0869999999999997</v>
      </c>
      <c r="G82">
        <v>15</v>
      </c>
      <c r="H82">
        <v>1002</v>
      </c>
      <c r="I82">
        <v>6</v>
      </c>
      <c r="J82">
        <v>6467</v>
      </c>
      <c r="K82">
        <v>1010</v>
      </c>
      <c r="L82">
        <v>6810</v>
      </c>
      <c r="M82">
        <v>1007</v>
      </c>
      <c r="N82">
        <v>6750</v>
      </c>
      <c r="O82">
        <v>1007</v>
      </c>
      <c r="P82">
        <v>6268</v>
      </c>
      <c r="Q82">
        <v>1003</v>
      </c>
      <c r="R82" s="17">
        <f t="shared" si="3"/>
        <v>1876739.8104108598</v>
      </c>
      <c r="S82" s="3">
        <v>0.52</v>
      </c>
      <c r="T82" s="17">
        <f t="shared" si="4"/>
        <v>975904.70141364716</v>
      </c>
      <c r="U82">
        <v>91816</v>
      </c>
      <c r="V82">
        <v>66674</v>
      </c>
      <c r="W82" s="3">
        <f t="shared" si="5"/>
        <v>399245.50898203591</v>
      </c>
    </row>
    <row r="83" spans="1:23" x14ac:dyDescent="0.25">
      <c r="A83" s="26" t="s">
        <v>492</v>
      </c>
      <c r="B83" t="s">
        <v>23</v>
      </c>
      <c r="C83" t="s">
        <v>50</v>
      </c>
      <c r="D83" t="s">
        <v>358</v>
      </c>
      <c r="E83" t="s">
        <v>170</v>
      </c>
      <c r="F83" s="5">
        <v>4.0869999999999997</v>
      </c>
      <c r="G83">
        <v>30</v>
      </c>
      <c r="H83">
        <v>1002</v>
      </c>
      <c r="I83">
        <v>6</v>
      </c>
      <c r="J83">
        <v>5680</v>
      </c>
      <c r="K83">
        <v>1034</v>
      </c>
      <c r="L83">
        <v>5670</v>
      </c>
      <c r="M83">
        <v>1000</v>
      </c>
      <c r="N83">
        <v>5758</v>
      </c>
      <c r="O83">
        <v>999</v>
      </c>
      <c r="P83">
        <v>5285</v>
      </c>
      <c r="Q83">
        <v>1007</v>
      </c>
      <c r="R83" s="17">
        <f t="shared" si="3"/>
        <v>1593431.5762412755</v>
      </c>
      <c r="S83" s="3">
        <v>0.52</v>
      </c>
      <c r="T83" s="17">
        <f t="shared" si="4"/>
        <v>828584.41964546335</v>
      </c>
      <c r="U83">
        <v>71422</v>
      </c>
      <c r="V83">
        <v>48630</v>
      </c>
      <c r="W83" s="3">
        <f t="shared" si="5"/>
        <v>291197.60479041917</v>
      </c>
    </row>
    <row r="84" spans="1:23" x14ac:dyDescent="0.25">
      <c r="A84" s="26" t="s">
        <v>493</v>
      </c>
      <c r="B84" t="s">
        <v>23</v>
      </c>
      <c r="C84" t="s">
        <v>50</v>
      </c>
      <c r="D84" t="s">
        <v>358</v>
      </c>
      <c r="E84" t="s">
        <v>170</v>
      </c>
      <c r="F84" s="5">
        <v>4.0869999999999997</v>
      </c>
      <c r="G84">
        <v>45</v>
      </c>
      <c r="H84">
        <v>1000</v>
      </c>
      <c r="I84">
        <v>2</v>
      </c>
      <c r="J84">
        <v>10149</v>
      </c>
      <c r="K84">
        <v>1013</v>
      </c>
      <c r="L84">
        <v>13876</v>
      </c>
      <c r="M84">
        <v>1445</v>
      </c>
      <c r="N84">
        <v>10281</v>
      </c>
      <c r="O84">
        <v>1011</v>
      </c>
      <c r="P84">
        <v>1051</v>
      </c>
      <c r="Q84">
        <v>1011</v>
      </c>
      <c r="R84" s="17">
        <f t="shared" si="3"/>
        <v>739925.48613833531</v>
      </c>
      <c r="S84" s="3">
        <v>0.52</v>
      </c>
      <c r="T84" s="17">
        <f t="shared" si="4"/>
        <v>384761.25279193436</v>
      </c>
      <c r="U84">
        <v>108776</v>
      </c>
      <c r="V84">
        <v>94612</v>
      </c>
      <c r="W84" s="3">
        <f t="shared" si="5"/>
        <v>189224</v>
      </c>
    </row>
    <row r="85" spans="1:23" x14ac:dyDescent="0.25">
      <c r="A85" s="26" t="s">
        <v>494</v>
      </c>
      <c r="B85" t="s">
        <v>23</v>
      </c>
      <c r="C85" t="s">
        <v>50</v>
      </c>
      <c r="D85" t="s">
        <v>358</v>
      </c>
      <c r="E85" t="s">
        <v>170</v>
      </c>
      <c r="F85" s="5">
        <v>4.0869999999999997</v>
      </c>
      <c r="G85">
        <v>60</v>
      </c>
      <c r="H85">
        <v>1000</v>
      </c>
      <c r="I85">
        <v>2</v>
      </c>
      <c r="J85">
        <v>9295</v>
      </c>
      <c r="K85">
        <v>1021</v>
      </c>
      <c r="L85">
        <v>9258</v>
      </c>
      <c r="M85">
        <v>1009</v>
      </c>
      <c r="N85">
        <v>9613</v>
      </c>
      <c r="O85">
        <v>1003</v>
      </c>
      <c r="P85">
        <v>9613</v>
      </c>
      <c r="Q85">
        <v>1003</v>
      </c>
      <c r="R85" s="17">
        <f t="shared" si="3"/>
        <v>898745.65224224562</v>
      </c>
      <c r="S85" s="3">
        <v>0.52</v>
      </c>
      <c r="T85" s="17">
        <f t="shared" si="4"/>
        <v>467347.73916596774</v>
      </c>
      <c r="U85">
        <v>103079</v>
      </c>
      <c r="V85">
        <v>88300</v>
      </c>
      <c r="W85" s="3">
        <f t="shared" si="5"/>
        <v>176600</v>
      </c>
    </row>
    <row r="86" spans="1:23" x14ac:dyDescent="0.25">
      <c r="A86" s="26" t="s">
        <v>497</v>
      </c>
      <c r="B86" t="s">
        <v>21</v>
      </c>
      <c r="C86" t="s">
        <v>33</v>
      </c>
      <c r="D86" t="s">
        <v>357</v>
      </c>
      <c r="E86" t="s">
        <v>172</v>
      </c>
      <c r="F86" s="5">
        <v>6.65</v>
      </c>
      <c r="G86">
        <v>0</v>
      </c>
      <c r="H86">
        <v>1002</v>
      </c>
      <c r="I86">
        <v>6</v>
      </c>
      <c r="J86">
        <v>4095</v>
      </c>
      <c r="K86">
        <v>1050</v>
      </c>
      <c r="L86">
        <v>4121</v>
      </c>
      <c r="M86">
        <v>1018</v>
      </c>
      <c r="N86">
        <v>4093</v>
      </c>
      <c r="O86">
        <v>1011</v>
      </c>
      <c r="P86">
        <v>4172</v>
      </c>
      <c r="Q86">
        <v>1006</v>
      </c>
      <c r="R86" s="17">
        <f t="shared" si="3"/>
        <v>1160027.6231854949</v>
      </c>
      <c r="S86" s="3">
        <f>1309300/R86</f>
        <v>1.1286800191917805</v>
      </c>
      <c r="T86" s="17">
        <f t="shared" si="4"/>
        <v>1309300</v>
      </c>
      <c r="U86">
        <v>36126</v>
      </c>
      <c r="V86">
        <v>22901</v>
      </c>
      <c r="W86" s="3">
        <f t="shared" si="5"/>
        <v>137131.7365269461</v>
      </c>
    </row>
    <row r="87" spans="1:23" x14ac:dyDescent="0.25">
      <c r="A87" s="26" t="s">
        <v>498</v>
      </c>
      <c r="B87" t="s">
        <v>21</v>
      </c>
      <c r="C87" t="s">
        <v>33</v>
      </c>
      <c r="D87" t="s">
        <v>357</v>
      </c>
      <c r="E87" t="s">
        <v>172</v>
      </c>
      <c r="F87" s="5">
        <v>6.65</v>
      </c>
      <c r="G87">
        <v>2</v>
      </c>
      <c r="H87">
        <v>1002</v>
      </c>
      <c r="I87">
        <v>6</v>
      </c>
      <c r="J87">
        <v>4309</v>
      </c>
      <c r="K87">
        <v>1020</v>
      </c>
      <c r="L87">
        <v>4224</v>
      </c>
      <c r="M87">
        <v>1014</v>
      </c>
      <c r="N87">
        <v>4285</v>
      </c>
      <c r="O87">
        <v>1010</v>
      </c>
      <c r="P87">
        <v>4148</v>
      </c>
      <c r="Q87">
        <v>1012</v>
      </c>
      <c r="R87" s="17">
        <f t="shared" si="3"/>
        <v>1202269.132740295</v>
      </c>
      <c r="S87" s="3">
        <v>1.1299999999999999</v>
      </c>
      <c r="T87" s="17">
        <f t="shared" si="4"/>
        <v>1358564.1199965333</v>
      </c>
      <c r="U87">
        <v>43966</v>
      </c>
      <c r="V87">
        <v>28047</v>
      </c>
      <c r="W87" s="3">
        <f t="shared" si="5"/>
        <v>167946.10778443114</v>
      </c>
    </row>
    <row r="88" spans="1:23" x14ac:dyDescent="0.25">
      <c r="A88" s="32" t="s">
        <v>499</v>
      </c>
      <c r="B88" s="33" t="s">
        <v>21</v>
      </c>
      <c r="C88" s="33" t="s">
        <v>33</v>
      </c>
      <c r="D88" s="33" t="s">
        <v>357</v>
      </c>
      <c r="E88" s="33" t="s">
        <v>172</v>
      </c>
      <c r="F88" s="34">
        <v>6.65</v>
      </c>
      <c r="G88" s="33">
        <v>5</v>
      </c>
      <c r="H88" s="33">
        <v>1002</v>
      </c>
      <c r="I88" s="33">
        <v>6</v>
      </c>
      <c r="J88" s="33">
        <v>1912</v>
      </c>
      <c r="K88" s="33">
        <v>1011</v>
      </c>
      <c r="L88" s="33">
        <v>2050</v>
      </c>
      <c r="M88" s="33">
        <v>1013</v>
      </c>
      <c r="N88" s="33">
        <v>2011</v>
      </c>
      <c r="O88" s="33">
        <v>1015</v>
      </c>
      <c r="P88" s="33">
        <v>1923</v>
      </c>
      <c r="Q88" s="33">
        <v>1016</v>
      </c>
      <c r="R88" s="35">
        <f t="shared" si="3"/>
        <v>559680.44280546752</v>
      </c>
      <c r="S88" s="3">
        <v>1.1299999999999999</v>
      </c>
      <c r="T88" s="17">
        <f t="shared" si="4"/>
        <v>632438.90037017828</v>
      </c>
      <c r="U88">
        <v>11446</v>
      </c>
      <c r="V88">
        <v>6904</v>
      </c>
      <c r="W88" s="3">
        <f t="shared" si="5"/>
        <v>41341.31736526946</v>
      </c>
    </row>
    <row r="89" spans="1:23" x14ac:dyDescent="0.25">
      <c r="A89" s="26" t="s">
        <v>500</v>
      </c>
      <c r="B89" t="s">
        <v>21</v>
      </c>
      <c r="C89" t="s">
        <v>33</v>
      </c>
      <c r="D89" t="s">
        <v>357</v>
      </c>
      <c r="E89" t="s">
        <v>172</v>
      </c>
      <c r="F89" s="5">
        <v>6.65</v>
      </c>
      <c r="G89">
        <v>10</v>
      </c>
      <c r="H89">
        <v>1002</v>
      </c>
      <c r="I89">
        <v>6</v>
      </c>
      <c r="J89">
        <v>5025</v>
      </c>
      <c r="K89">
        <v>1034</v>
      </c>
      <c r="L89">
        <v>4791</v>
      </c>
      <c r="M89">
        <v>1023</v>
      </c>
      <c r="N89">
        <v>4678</v>
      </c>
      <c r="O89">
        <v>1013</v>
      </c>
      <c r="P89">
        <v>4558</v>
      </c>
      <c r="Q89">
        <v>1013</v>
      </c>
      <c r="R89" s="17">
        <f t="shared" si="3"/>
        <v>1340876.0624244022</v>
      </c>
      <c r="S89" s="3">
        <v>1.1299999999999999</v>
      </c>
      <c r="T89" s="17">
        <f t="shared" si="4"/>
        <v>1515189.9505395743</v>
      </c>
      <c r="U89">
        <v>57279</v>
      </c>
      <c r="V89">
        <v>36719</v>
      </c>
      <c r="W89" s="3">
        <f t="shared" si="5"/>
        <v>219874.25149700599</v>
      </c>
    </row>
    <row r="90" spans="1:23" x14ac:dyDescent="0.25">
      <c r="A90" s="26" t="s">
        <v>501</v>
      </c>
      <c r="B90" t="s">
        <v>21</v>
      </c>
      <c r="C90" t="s">
        <v>33</v>
      </c>
      <c r="D90" t="s">
        <v>357</v>
      </c>
      <c r="E90" t="s">
        <v>172</v>
      </c>
      <c r="F90" s="5">
        <v>6.65</v>
      </c>
      <c r="G90">
        <v>15</v>
      </c>
      <c r="H90">
        <v>1002</v>
      </c>
      <c r="I90">
        <v>6</v>
      </c>
      <c r="J90">
        <v>3981</v>
      </c>
      <c r="K90">
        <v>1012</v>
      </c>
      <c r="L90">
        <v>4223</v>
      </c>
      <c r="M90">
        <v>1018</v>
      </c>
      <c r="N90">
        <v>3912</v>
      </c>
      <c r="O90">
        <v>1005</v>
      </c>
      <c r="P90">
        <v>4131</v>
      </c>
      <c r="Q90">
        <v>1091</v>
      </c>
      <c r="R90" s="17">
        <f t="shared" si="3"/>
        <v>1132533.8660529184</v>
      </c>
      <c r="S90" s="3">
        <v>1.1299999999999999</v>
      </c>
      <c r="T90" s="17">
        <f t="shared" si="4"/>
        <v>1279763.2686397976</v>
      </c>
      <c r="U90">
        <v>56758</v>
      </c>
      <c r="V90">
        <v>37196</v>
      </c>
      <c r="W90" s="3">
        <f t="shared" si="5"/>
        <v>222730.53892215568</v>
      </c>
    </row>
    <row r="91" spans="1:23" x14ac:dyDescent="0.25">
      <c r="A91" s="26" t="s">
        <v>502</v>
      </c>
      <c r="B91" t="s">
        <v>21</v>
      </c>
      <c r="C91" t="s">
        <v>33</v>
      </c>
      <c r="D91" t="s">
        <v>357</v>
      </c>
      <c r="E91" t="s">
        <v>172</v>
      </c>
      <c r="F91" s="5">
        <v>6.65</v>
      </c>
      <c r="G91">
        <v>30</v>
      </c>
      <c r="H91">
        <v>1002</v>
      </c>
      <c r="I91">
        <v>6</v>
      </c>
      <c r="J91">
        <v>4044</v>
      </c>
      <c r="K91">
        <v>1007</v>
      </c>
      <c r="L91">
        <v>4186</v>
      </c>
      <c r="M91">
        <v>1020</v>
      </c>
      <c r="N91">
        <v>3946</v>
      </c>
      <c r="O91">
        <v>1008</v>
      </c>
      <c r="P91">
        <v>4053</v>
      </c>
      <c r="Q91">
        <v>1012</v>
      </c>
      <c r="R91" s="17">
        <f t="shared" si="3"/>
        <v>1152534.150777671</v>
      </c>
      <c r="S91" s="3">
        <v>1.1299999999999999</v>
      </c>
      <c r="T91" s="17">
        <f t="shared" si="4"/>
        <v>1302363.590378768</v>
      </c>
      <c r="U91">
        <v>51473</v>
      </c>
      <c r="V91">
        <v>33179</v>
      </c>
      <c r="W91" s="3">
        <f t="shared" si="5"/>
        <v>198676.64670658685</v>
      </c>
    </row>
    <row r="92" spans="1:23" x14ac:dyDescent="0.25">
      <c r="A92" s="26" t="s">
        <v>503</v>
      </c>
      <c r="B92" t="s">
        <v>21</v>
      </c>
      <c r="C92" t="s">
        <v>34</v>
      </c>
      <c r="D92" t="s">
        <v>357</v>
      </c>
      <c r="E92" t="s">
        <v>172</v>
      </c>
      <c r="F92" s="5">
        <v>5.1870000000000003</v>
      </c>
      <c r="G92">
        <v>0</v>
      </c>
      <c r="H92">
        <v>1002</v>
      </c>
      <c r="I92">
        <v>6</v>
      </c>
      <c r="J92">
        <v>5124</v>
      </c>
      <c r="K92">
        <v>1181</v>
      </c>
      <c r="L92">
        <v>4479</v>
      </c>
      <c r="M92">
        <v>1014</v>
      </c>
      <c r="N92">
        <v>4375</v>
      </c>
      <c r="O92">
        <v>1014</v>
      </c>
      <c r="P92">
        <v>4366</v>
      </c>
      <c r="Q92">
        <v>1019</v>
      </c>
      <c r="R92" s="17">
        <f t="shared" si="3"/>
        <v>1247069.0430440684</v>
      </c>
      <c r="S92" s="3">
        <f>1309300/R92</f>
        <v>1.0499017735249263</v>
      </c>
      <c r="T92" s="17">
        <f t="shared" si="4"/>
        <v>1309300</v>
      </c>
      <c r="U92">
        <v>49972</v>
      </c>
      <c r="V92">
        <v>32410</v>
      </c>
      <c r="W92" s="3">
        <f t="shared" si="5"/>
        <v>194071.85628742515</v>
      </c>
    </row>
    <row r="93" spans="1:23" x14ac:dyDescent="0.25">
      <c r="A93" s="26" t="s">
        <v>504</v>
      </c>
      <c r="B93" t="s">
        <v>21</v>
      </c>
      <c r="C93" t="s">
        <v>34</v>
      </c>
      <c r="D93" t="s">
        <v>357</v>
      </c>
      <c r="E93" t="s">
        <v>172</v>
      </c>
      <c r="F93" s="5">
        <v>5.1870000000000003</v>
      </c>
      <c r="G93">
        <v>2</v>
      </c>
      <c r="H93">
        <v>1002</v>
      </c>
      <c r="I93">
        <v>6</v>
      </c>
      <c r="J93">
        <v>4663</v>
      </c>
      <c r="K93">
        <v>1014</v>
      </c>
      <c r="L93">
        <v>4965</v>
      </c>
      <c r="M93">
        <v>1006</v>
      </c>
      <c r="N93">
        <v>4827</v>
      </c>
      <c r="O93">
        <v>1009</v>
      </c>
      <c r="P93">
        <v>4738</v>
      </c>
      <c r="Q93">
        <v>1012</v>
      </c>
      <c r="R93" s="17">
        <f t="shared" si="3"/>
        <v>1365252.911473111</v>
      </c>
      <c r="S93" s="3">
        <v>1.05</v>
      </c>
      <c r="T93" s="17">
        <f t="shared" si="4"/>
        <v>1433515.5570467666</v>
      </c>
      <c r="U93">
        <v>51854</v>
      </c>
      <c r="V93">
        <v>33097</v>
      </c>
      <c r="W93" s="3">
        <f t="shared" si="5"/>
        <v>198185.62874251499</v>
      </c>
    </row>
    <row r="94" spans="1:23" x14ac:dyDescent="0.25">
      <c r="A94" s="26" t="s">
        <v>505</v>
      </c>
      <c r="B94" t="s">
        <v>21</v>
      </c>
      <c r="C94" t="s">
        <v>34</v>
      </c>
      <c r="D94" t="s">
        <v>357</v>
      </c>
      <c r="E94" t="s">
        <v>172</v>
      </c>
      <c r="F94" s="5">
        <v>5.1870000000000003</v>
      </c>
      <c r="G94">
        <v>5</v>
      </c>
      <c r="H94">
        <v>1002</v>
      </c>
      <c r="I94">
        <v>6</v>
      </c>
      <c r="J94">
        <v>4492</v>
      </c>
      <c r="K94">
        <v>1005</v>
      </c>
      <c r="L94">
        <v>4679</v>
      </c>
      <c r="M94">
        <v>1008</v>
      </c>
      <c r="N94">
        <v>4672</v>
      </c>
      <c r="O94">
        <v>1020</v>
      </c>
      <c r="P94">
        <v>4793</v>
      </c>
      <c r="Q94">
        <v>1010</v>
      </c>
      <c r="R94" s="17">
        <f t="shared" si="3"/>
        <v>1324846.9603815665</v>
      </c>
      <c r="S94" s="3">
        <v>1.05</v>
      </c>
      <c r="T94" s="17">
        <f t="shared" si="4"/>
        <v>1391089.3084006449</v>
      </c>
      <c r="U94">
        <v>47838</v>
      </c>
      <c r="V94">
        <v>30257</v>
      </c>
      <c r="W94" s="3">
        <f t="shared" si="5"/>
        <v>181179.64071856288</v>
      </c>
    </row>
    <row r="95" spans="1:23" x14ac:dyDescent="0.25">
      <c r="A95" s="26" t="s">
        <v>506</v>
      </c>
      <c r="B95" t="s">
        <v>21</v>
      </c>
      <c r="C95" t="s">
        <v>34</v>
      </c>
      <c r="D95" t="s">
        <v>357</v>
      </c>
      <c r="E95" t="s">
        <v>172</v>
      </c>
      <c r="F95" s="5">
        <v>5.1870000000000003</v>
      </c>
      <c r="G95">
        <v>10</v>
      </c>
      <c r="H95">
        <v>1002</v>
      </c>
      <c r="I95">
        <v>6</v>
      </c>
      <c r="J95">
        <v>4578</v>
      </c>
      <c r="K95">
        <v>1007</v>
      </c>
      <c r="L95">
        <v>4623</v>
      </c>
      <c r="M95">
        <v>1013</v>
      </c>
      <c r="N95">
        <v>4851</v>
      </c>
      <c r="O95">
        <v>1014</v>
      </c>
      <c r="P95">
        <v>4473</v>
      </c>
      <c r="Q95">
        <v>1021</v>
      </c>
      <c r="R95" s="17">
        <f t="shared" si="3"/>
        <v>1313164.4344297394</v>
      </c>
      <c r="S95" s="3">
        <v>1.05</v>
      </c>
      <c r="T95" s="17">
        <f t="shared" si="4"/>
        <v>1378822.6561512265</v>
      </c>
      <c r="U95">
        <v>48632</v>
      </c>
      <c r="V95">
        <v>30471</v>
      </c>
      <c r="W95" s="3">
        <f t="shared" si="5"/>
        <v>182461.07784431137</v>
      </c>
    </row>
    <row r="96" spans="1:23" x14ac:dyDescent="0.25">
      <c r="A96" s="26" t="s">
        <v>507</v>
      </c>
      <c r="B96" t="s">
        <v>21</v>
      </c>
      <c r="C96" t="s">
        <v>34</v>
      </c>
      <c r="D96" t="s">
        <v>357</v>
      </c>
      <c r="E96" t="s">
        <v>172</v>
      </c>
      <c r="F96" s="5">
        <v>5.1870000000000003</v>
      </c>
      <c r="G96">
        <v>15</v>
      </c>
      <c r="H96">
        <v>1002</v>
      </c>
      <c r="I96">
        <v>6</v>
      </c>
      <c r="J96">
        <v>4247</v>
      </c>
      <c r="K96">
        <v>1011</v>
      </c>
      <c r="L96">
        <v>4437</v>
      </c>
      <c r="M96">
        <v>1003</v>
      </c>
      <c r="N96">
        <v>4295</v>
      </c>
      <c r="O96">
        <v>1025</v>
      </c>
      <c r="P96">
        <v>4467</v>
      </c>
      <c r="Q96">
        <v>1007</v>
      </c>
      <c r="R96" s="17">
        <f t="shared" si="3"/>
        <v>1239572.1465783122</v>
      </c>
      <c r="S96" s="3">
        <v>1.05</v>
      </c>
      <c r="T96" s="17">
        <f t="shared" si="4"/>
        <v>1301550.7539072279</v>
      </c>
      <c r="U96">
        <v>51794</v>
      </c>
      <c r="V96">
        <v>33400</v>
      </c>
      <c r="W96" s="3">
        <f t="shared" si="5"/>
        <v>200000</v>
      </c>
    </row>
    <row r="97" spans="1:23" x14ac:dyDescent="0.25">
      <c r="A97" s="26" t="s">
        <v>508</v>
      </c>
      <c r="B97" t="s">
        <v>21</v>
      </c>
      <c r="C97" t="s">
        <v>34</v>
      </c>
      <c r="D97" t="s">
        <v>357</v>
      </c>
      <c r="E97" t="s">
        <v>172</v>
      </c>
      <c r="F97" s="5">
        <v>5.1870000000000003</v>
      </c>
      <c r="G97">
        <v>30</v>
      </c>
      <c r="H97">
        <v>1002</v>
      </c>
      <c r="I97">
        <v>6</v>
      </c>
      <c r="J97">
        <v>3951</v>
      </c>
      <c r="K97">
        <v>1028</v>
      </c>
      <c r="L97">
        <v>4254</v>
      </c>
      <c r="M97">
        <v>1009</v>
      </c>
      <c r="N97">
        <v>4159</v>
      </c>
      <c r="O97">
        <v>1011</v>
      </c>
      <c r="P97">
        <v>4063</v>
      </c>
      <c r="Q97">
        <v>1020</v>
      </c>
      <c r="R97" s="17">
        <f t="shared" si="3"/>
        <v>1160947.7469296088</v>
      </c>
      <c r="S97" s="3">
        <v>1.05</v>
      </c>
      <c r="T97" s="17">
        <f t="shared" si="4"/>
        <v>1218995.1342760893</v>
      </c>
      <c r="U97">
        <v>59364</v>
      </c>
      <c r="V97">
        <v>38443</v>
      </c>
      <c r="W97" s="3">
        <f t="shared" si="5"/>
        <v>230197.60479041914</v>
      </c>
    </row>
    <row r="98" spans="1:23" x14ac:dyDescent="0.25">
      <c r="A98" s="26" t="s">
        <v>509</v>
      </c>
      <c r="B98" t="s">
        <v>21</v>
      </c>
      <c r="C98" t="s">
        <v>35</v>
      </c>
      <c r="D98" t="s">
        <v>357</v>
      </c>
      <c r="E98" t="s">
        <v>172</v>
      </c>
      <c r="F98" s="5">
        <v>7.8719999999999999</v>
      </c>
      <c r="G98">
        <v>0</v>
      </c>
      <c r="H98">
        <v>1002</v>
      </c>
      <c r="I98">
        <v>6</v>
      </c>
      <c r="J98">
        <v>5093</v>
      </c>
      <c r="K98">
        <v>1006</v>
      </c>
      <c r="L98">
        <v>5927</v>
      </c>
      <c r="M98">
        <v>1098</v>
      </c>
      <c r="N98">
        <v>5108</v>
      </c>
      <c r="O98">
        <v>1005</v>
      </c>
      <c r="P98">
        <v>5311</v>
      </c>
      <c r="Q98">
        <v>1021</v>
      </c>
      <c r="R98" s="17">
        <f t="shared" si="3"/>
        <v>1490656.5739139351</v>
      </c>
      <c r="S98" s="3">
        <f>1309300/R98</f>
        <v>0.87833778947638008</v>
      </c>
      <c r="T98" s="17">
        <f t="shared" si="4"/>
        <v>1309300</v>
      </c>
      <c r="U98">
        <v>60335</v>
      </c>
      <c r="V98">
        <v>40348</v>
      </c>
      <c r="W98" s="3">
        <f t="shared" si="5"/>
        <v>241604.79041916167</v>
      </c>
    </row>
    <row r="99" spans="1:23" x14ac:dyDescent="0.25">
      <c r="A99" s="26" t="s">
        <v>510</v>
      </c>
      <c r="B99" t="s">
        <v>21</v>
      </c>
      <c r="C99" t="s">
        <v>35</v>
      </c>
      <c r="D99" t="s">
        <v>357</v>
      </c>
      <c r="E99" t="s">
        <v>172</v>
      </c>
      <c r="F99" s="5">
        <v>7.8719999999999999</v>
      </c>
      <c r="G99">
        <v>2</v>
      </c>
      <c r="H99">
        <v>1002</v>
      </c>
      <c r="I99">
        <v>6</v>
      </c>
      <c r="J99">
        <v>3887</v>
      </c>
      <c r="K99">
        <v>1014</v>
      </c>
      <c r="L99">
        <v>4574</v>
      </c>
      <c r="M99">
        <v>1015</v>
      </c>
      <c r="N99">
        <v>4245</v>
      </c>
      <c r="O99">
        <v>1012</v>
      </c>
      <c r="P99">
        <v>4242</v>
      </c>
      <c r="Q99">
        <v>1014</v>
      </c>
      <c r="R99" s="17">
        <f t="shared" si="3"/>
        <v>1201281.4317487406</v>
      </c>
      <c r="S99" s="3">
        <v>0.88</v>
      </c>
      <c r="T99" s="17">
        <f t="shared" si="4"/>
        <v>1057127.6599388917</v>
      </c>
      <c r="U99">
        <v>50987</v>
      </c>
      <c r="V99">
        <v>32623</v>
      </c>
      <c r="W99" s="3">
        <f t="shared" si="5"/>
        <v>195347.30538922155</v>
      </c>
    </row>
    <row r="100" spans="1:23" x14ac:dyDescent="0.25">
      <c r="A100" s="26" t="s">
        <v>511</v>
      </c>
      <c r="B100" t="s">
        <v>21</v>
      </c>
      <c r="C100" t="s">
        <v>35</v>
      </c>
      <c r="D100" t="s">
        <v>357</v>
      </c>
      <c r="E100" t="s">
        <v>172</v>
      </c>
      <c r="F100" s="5">
        <v>7.8719999999999999</v>
      </c>
      <c r="G100">
        <v>5</v>
      </c>
      <c r="H100">
        <v>1002</v>
      </c>
      <c r="I100">
        <v>6</v>
      </c>
      <c r="J100">
        <v>4661</v>
      </c>
      <c r="K100">
        <v>1006</v>
      </c>
      <c r="L100">
        <v>4625</v>
      </c>
      <c r="M100">
        <v>1005</v>
      </c>
      <c r="N100">
        <v>4887</v>
      </c>
      <c r="O100">
        <v>1004</v>
      </c>
      <c r="P100">
        <v>4516</v>
      </c>
      <c r="Q100">
        <v>1001</v>
      </c>
      <c r="R100" s="17">
        <f t="shared" si="3"/>
        <v>1337547.9691219022</v>
      </c>
      <c r="S100" s="3">
        <v>0.88</v>
      </c>
      <c r="T100" s="17">
        <f t="shared" si="4"/>
        <v>1177042.2128272739</v>
      </c>
      <c r="U100">
        <v>50715</v>
      </c>
      <c r="V100">
        <v>32903</v>
      </c>
      <c r="W100" s="3">
        <f t="shared" si="5"/>
        <v>197023.9520958084</v>
      </c>
    </row>
    <row r="101" spans="1:23" x14ac:dyDescent="0.25">
      <c r="A101" s="26" t="s">
        <v>512</v>
      </c>
      <c r="B101" t="s">
        <v>21</v>
      </c>
      <c r="C101" t="s">
        <v>35</v>
      </c>
      <c r="D101" t="s">
        <v>357</v>
      </c>
      <c r="E101" t="s">
        <v>172</v>
      </c>
      <c r="F101" s="5">
        <v>7.8719999999999999</v>
      </c>
      <c r="G101">
        <v>10</v>
      </c>
      <c r="H101">
        <v>1002</v>
      </c>
      <c r="I101">
        <v>6</v>
      </c>
      <c r="J101">
        <v>4455</v>
      </c>
      <c r="K101">
        <v>1001</v>
      </c>
      <c r="L101">
        <v>4552</v>
      </c>
      <c r="M101">
        <v>1010</v>
      </c>
      <c r="N101">
        <v>4278</v>
      </c>
      <c r="O101">
        <v>1010</v>
      </c>
      <c r="P101">
        <v>4409</v>
      </c>
      <c r="Q101">
        <v>1007</v>
      </c>
      <c r="R101" s="17">
        <f t="shared" si="3"/>
        <v>1262620.9758467507</v>
      </c>
      <c r="S101" s="3">
        <v>0.88</v>
      </c>
      <c r="T101" s="17">
        <f t="shared" si="4"/>
        <v>1111106.4587451406</v>
      </c>
      <c r="U101">
        <v>49621</v>
      </c>
      <c r="V101">
        <v>32088</v>
      </c>
      <c r="W101" s="3">
        <f t="shared" si="5"/>
        <v>192143.7125748503</v>
      </c>
    </row>
    <row r="102" spans="1:23" x14ac:dyDescent="0.25">
      <c r="A102" s="26" t="s">
        <v>513</v>
      </c>
      <c r="B102" t="s">
        <v>21</v>
      </c>
      <c r="C102" t="s">
        <v>35</v>
      </c>
      <c r="D102" t="s">
        <v>357</v>
      </c>
      <c r="E102" t="s">
        <v>172</v>
      </c>
      <c r="F102" s="5">
        <v>7.8719999999999999</v>
      </c>
      <c r="G102">
        <v>15</v>
      </c>
      <c r="H102">
        <v>1002</v>
      </c>
      <c r="I102">
        <v>6</v>
      </c>
      <c r="J102">
        <v>3490</v>
      </c>
      <c r="K102">
        <v>1014</v>
      </c>
      <c r="L102">
        <v>3626</v>
      </c>
      <c r="M102">
        <v>1002</v>
      </c>
      <c r="N102">
        <v>3622</v>
      </c>
      <c r="O102">
        <v>1016</v>
      </c>
      <c r="P102">
        <v>3561</v>
      </c>
      <c r="Q102">
        <v>1007</v>
      </c>
      <c r="R102" s="17">
        <f t="shared" si="3"/>
        <v>1017613.2198825942</v>
      </c>
      <c r="S102" s="3">
        <v>0.88</v>
      </c>
      <c r="T102" s="17">
        <f t="shared" si="4"/>
        <v>895499.63349668286</v>
      </c>
      <c r="U102">
        <v>46438</v>
      </c>
      <c r="V102">
        <v>30685</v>
      </c>
      <c r="W102" s="3">
        <f t="shared" si="5"/>
        <v>183742.51497005988</v>
      </c>
    </row>
    <row r="103" spans="1:23" x14ac:dyDescent="0.25">
      <c r="A103" s="26" t="s">
        <v>514</v>
      </c>
      <c r="B103" t="s">
        <v>21</v>
      </c>
      <c r="C103" t="s">
        <v>35</v>
      </c>
      <c r="D103" t="s">
        <v>357</v>
      </c>
      <c r="E103" t="s">
        <v>172</v>
      </c>
      <c r="F103" s="5">
        <v>7.8719999999999999</v>
      </c>
      <c r="G103">
        <v>30</v>
      </c>
      <c r="H103">
        <v>1002</v>
      </c>
      <c r="I103">
        <v>6</v>
      </c>
      <c r="J103">
        <v>3353</v>
      </c>
      <c r="K103">
        <v>1014</v>
      </c>
      <c r="L103">
        <v>3420</v>
      </c>
      <c r="M103">
        <v>1012</v>
      </c>
      <c r="N103">
        <v>3537</v>
      </c>
      <c r="O103">
        <v>1019</v>
      </c>
      <c r="P103">
        <v>3360</v>
      </c>
      <c r="Q103">
        <v>1007</v>
      </c>
      <c r="R103" s="17">
        <f t="shared" si="3"/>
        <v>969617.69815427216</v>
      </c>
      <c r="S103" s="3">
        <v>0.88</v>
      </c>
      <c r="T103" s="17">
        <f t="shared" si="4"/>
        <v>853263.57437575946</v>
      </c>
      <c r="U103">
        <v>55879</v>
      </c>
      <c r="V103">
        <v>36943</v>
      </c>
      <c r="W103" s="3">
        <f t="shared" si="5"/>
        <v>221215.56886227545</v>
      </c>
    </row>
    <row r="104" spans="1:23" x14ac:dyDescent="0.25">
      <c r="A104" s="26" t="s">
        <v>515</v>
      </c>
      <c r="B104" t="s">
        <v>21</v>
      </c>
      <c r="C104" t="s">
        <v>36</v>
      </c>
      <c r="D104" t="s">
        <v>357</v>
      </c>
      <c r="E104" t="s">
        <v>172</v>
      </c>
      <c r="F104" s="5">
        <v>5.3280000000000003</v>
      </c>
      <c r="G104">
        <v>0</v>
      </c>
      <c r="H104">
        <v>1002</v>
      </c>
      <c r="I104">
        <v>6</v>
      </c>
      <c r="J104">
        <v>4344</v>
      </c>
      <c r="K104">
        <v>1011</v>
      </c>
      <c r="L104">
        <v>4403</v>
      </c>
      <c r="M104">
        <v>1029</v>
      </c>
      <c r="N104">
        <v>4511</v>
      </c>
      <c r="O104">
        <v>1020</v>
      </c>
      <c r="P104">
        <v>4180</v>
      </c>
      <c r="Q104">
        <v>1019</v>
      </c>
      <c r="R104" s="17">
        <f t="shared" si="3"/>
        <v>1228761.005981524</v>
      </c>
      <c r="S104" s="3">
        <f>1309300/R104</f>
        <v>1.0655448810846191</v>
      </c>
      <c r="T104" s="17">
        <f t="shared" si="4"/>
        <v>1309300</v>
      </c>
      <c r="U104">
        <v>51512</v>
      </c>
      <c r="V104">
        <v>35253</v>
      </c>
      <c r="W104" s="3">
        <f t="shared" si="5"/>
        <v>211095.80838323353</v>
      </c>
    </row>
    <row r="105" spans="1:23" x14ac:dyDescent="0.25">
      <c r="A105" s="26" t="s">
        <v>516</v>
      </c>
      <c r="B105" t="s">
        <v>21</v>
      </c>
      <c r="C105" t="s">
        <v>36</v>
      </c>
      <c r="D105" t="s">
        <v>357</v>
      </c>
      <c r="E105" t="s">
        <v>172</v>
      </c>
      <c r="F105" s="5">
        <v>5.3280000000000003</v>
      </c>
      <c r="G105">
        <v>2</v>
      </c>
      <c r="H105">
        <v>1002</v>
      </c>
      <c r="I105">
        <v>6</v>
      </c>
      <c r="J105">
        <v>4653</v>
      </c>
      <c r="K105">
        <v>1017</v>
      </c>
      <c r="L105">
        <v>4402</v>
      </c>
      <c r="M105">
        <v>1013</v>
      </c>
      <c r="N105">
        <v>4335</v>
      </c>
      <c r="O105">
        <v>1013</v>
      </c>
      <c r="P105">
        <v>4510</v>
      </c>
      <c r="Q105">
        <v>1011</v>
      </c>
      <c r="R105" s="17">
        <f t="shared" si="3"/>
        <v>1269055.876569099</v>
      </c>
      <c r="S105" s="3">
        <v>1.07</v>
      </c>
      <c r="T105" s="17">
        <f t="shared" si="4"/>
        <v>1357889.7879289361</v>
      </c>
      <c r="U105">
        <v>49756</v>
      </c>
      <c r="V105">
        <v>33668</v>
      </c>
      <c r="W105" s="3">
        <f t="shared" si="5"/>
        <v>201604.79041916167</v>
      </c>
    </row>
    <row r="106" spans="1:23" x14ac:dyDescent="0.25">
      <c r="A106" s="26" t="s">
        <v>517</v>
      </c>
      <c r="B106" t="s">
        <v>21</v>
      </c>
      <c r="C106" t="s">
        <v>36</v>
      </c>
      <c r="D106" t="s">
        <v>357</v>
      </c>
      <c r="E106" t="s">
        <v>172</v>
      </c>
      <c r="F106" s="5">
        <v>5.3280000000000003</v>
      </c>
      <c r="G106">
        <v>5</v>
      </c>
      <c r="H106">
        <v>1002</v>
      </c>
      <c r="I106">
        <v>6</v>
      </c>
      <c r="J106">
        <v>4530</v>
      </c>
      <c r="K106">
        <v>1002</v>
      </c>
      <c r="L106">
        <v>4689</v>
      </c>
      <c r="M106">
        <v>1026</v>
      </c>
      <c r="N106">
        <v>4646</v>
      </c>
      <c r="O106">
        <v>1014</v>
      </c>
      <c r="P106">
        <v>4522</v>
      </c>
      <c r="Q106">
        <v>1011</v>
      </c>
      <c r="R106" s="17">
        <f t="shared" si="3"/>
        <v>1303888.8700257903</v>
      </c>
      <c r="S106" s="3">
        <v>1.07</v>
      </c>
      <c r="T106" s="17">
        <f t="shared" si="4"/>
        <v>1395161.0909275957</v>
      </c>
      <c r="U106">
        <v>57343</v>
      </c>
      <c r="V106">
        <v>38574</v>
      </c>
      <c r="W106" s="3">
        <f t="shared" si="5"/>
        <v>230982.03592814371</v>
      </c>
    </row>
    <row r="107" spans="1:23" x14ac:dyDescent="0.25">
      <c r="A107" s="26" t="s">
        <v>518</v>
      </c>
      <c r="B107" t="s">
        <v>21</v>
      </c>
      <c r="C107" t="s">
        <v>36</v>
      </c>
      <c r="D107" t="s">
        <v>357</v>
      </c>
      <c r="E107" t="s">
        <v>172</v>
      </c>
      <c r="F107" s="5">
        <v>5.3280000000000003</v>
      </c>
      <c r="G107">
        <v>10</v>
      </c>
      <c r="H107">
        <v>1002</v>
      </c>
      <c r="I107">
        <v>6</v>
      </c>
      <c r="J107">
        <v>4456</v>
      </c>
      <c r="K107">
        <v>1004</v>
      </c>
      <c r="L107">
        <v>4424</v>
      </c>
      <c r="M107">
        <v>1015</v>
      </c>
      <c r="N107">
        <v>4546</v>
      </c>
      <c r="O107">
        <v>1004</v>
      </c>
      <c r="P107">
        <v>4349</v>
      </c>
      <c r="Q107">
        <v>1008</v>
      </c>
      <c r="R107" s="17">
        <f t="shared" si="3"/>
        <v>1267490.3191477817</v>
      </c>
      <c r="S107" s="3">
        <v>1.07</v>
      </c>
      <c r="T107" s="17">
        <f t="shared" si="4"/>
        <v>1356214.6414881265</v>
      </c>
      <c r="U107">
        <v>54692</v>
      </c>
      <c r="V107">
        <v>36742</v>
      </c>
      <c r="W107" s="3">
        <f t="shared" si="5"/>
        <v>220011.9760479042</v>
      </c>
    </row>
    <row r="108" spans="1:23" x14ac:dyDescent="0.25">
      <c r="A108" s="26" t="s">
        <v>519</v>
      </c>
      <c r="B108" t="s">
        <v>21</v>
      </c>
      <c r="C108" t="s">
        <v>36</v>
      </c>
      <c r="D108" t="s">
        <v>357</v>
      </c>
      <c r="E108" t="s">
        <v>172</v>
      </c>
      <c r="F108" s="5">
        <v>5.3280000000000003</v>
      </c>
      <c r="G108">
        <v>15</v>
      </c>
      <c r="H108">
        <v>1002</v>
      </c>
      <c r="I108">
        <v>6</v>
      </c>
      <c r="J108">
        <v>4176</v>
      </c>
      <c r="K108">
        <v>1008</v>
      </c>
      <c r="L108">
        <v>4430</v>
      </c>
      <c r="M108">
        <v>1022</v>
      </c>
      <c r="N108">
        <v>4033</v>
      </c>
      <c r="O108">
        <v>1002</v>
      </c>
      <c r="P108">
        <v>4100</v>
      </c>
      <c r="Q108">
        <v>1006</v>
      </c>
      <c r="R108" s="17">
        <f t="shared" si="3"/>
        <v>1191232.9528465441</v>
      </c>
      <c r="S108" s="3">
        <v>1.07</v>
      </c>
      <c r="T108" s="17">
        <f t="shared" si="4"/>
        <v>1274619.2595458024</v>
      </c>
      <c r="U108">
        <v>51003</v>
      </c>
      <c r="V108">
        <v>34373</v>
      </c>
      <c r="W108" s="3">
        <f t="shared" si="5"/>
        <v>205826.34730538921</v>
      </c>
    </row>
    <row r="109" spans="1:23" x14ac:dyDescent="0.25">
      <c r="A109" s="26" t="s">
        <v>520</v>
      </c>
      <c r="B109" t="s">
        <v>21</v>
      </c>
      <c r="C109" t="s">
        <v>36</v>
      </c>
      <c r="D109" t="s">
        <v>357</v>
      </c>
      <c r="E109" t="s">
        <v>172</v>
      </c>
      <c r="F109" s="5">
        <v>5.3280000000000003</v>
      </c>
      <c r="G109">
        <v>30</v>
      </c>
      <c r="H109">
        <v>1002</v>
      </c>
      <c r="I109">
        <v>6</v>
      </c>
      <c r="J109">
        <v>4314</v>
      </c>
      <c r="K109">
        <v>1007</v>
      </c>
      <c r="L109">
        <v>4203</v>
      </c>
      <c r="M109">
        <v>1008</v>
      </c>
      <c r="N109">
        <v>4175</v>
      </c>
      <c r="O109">
        <v>1000</v>
      </c>
      <c r="P109">
        <v>4186</v>
      </c>
      <c r="Q109">
        <v>1004</v>
      </c>
      <c r="R109" s="17">
        <f t="shared" si="3"/>
        <v>1207040.2981717447</v>
      </c>
      <c r="S109" s="3">
        <v>1.07</v>
      </c>
      <c r="T109" s="17">
        <f t="shared" si="4"/>
        <v>1291533.119043767</v>
      </c>
      <c r="U109">
        <v>54548</v>
      </c>
      <c r="V109">
        <v>36612</v>
      </c>
      <c r="W109" s="3">
        <f t="shared" si="5"/>
        <v>219233.53293413174</v>
      </c>
    </row>
    <row r="110" spans="1:23" x14ac:dyDescent="0.25">
      <c r="A110" s="26" t="s">
        <v>521</v>
      </c>
      <c r="B110" t="s">
        <v>21</v>
      </c>
      <c r="C110" t="s">
        <v>36</v>
      </c>
      <c r="D110" t="s">
        <v>357</v>
      </c>
      <c r="E110" t="s">
        <v>172</v>
      </c>
      <c r="F110" s="5">
        <v>5.3280000000000003</v>
      </c>
      <c r="G110">
        <v>45</v>
      </c>
      <c r="H110">
        <v>1000</v>
      </c>
      <c r="I110">
        <v>2</v>
      </c>
      <c r="J110">
        <v>6402</v>
      </c>
      <c r="K110">
        <v>1014</v>
      </c>
      <c r="L110">
        <v>6441</v>
      </c>
      <c r="M110">
        <v>1025</v>
      </c>
      <c r="N110">
        <v>6315</v>
      </c>
      <c r="O110">
        <v>1026</v>
      </c>
      <c r="P110">
        <v>6185</v>
      </c>
      <c r="Q110">
        <v>1006</v>
      </c>
      <c r="R110" s="17">
        <f t="shared" si="3"/>
        <v>597614.25596932508</v>
      </c>
      <c r="S110" s="3">
        <v>1.07</v>
      </c>
      <c r="T110" s="17">
        <f t="shared" si="4"/>
        <v>639447.25388717791</v>
      </c>
      <c r="U110">
        <v>27448</v>
      </c>
      <c r="V110">
        <v>19438</v>
      </c>
      <c r="W110" s="3">
        <f t="shared" si="5"/>
        <v>38876</v>
      </c>
    </row>
    <row r="111" spans="1:23" x14ac:dyDescent="0.25">
      <c r="A111" s="26" t="s">
        <v>522</v>
      </c>
      <c r="B111" t="s">
        <v>21</v>
      </c>
      <c r="C111" t="s">
        <v>36</v>
      </c>
      <c r="D111" t="s">
        <v>357</v>
      </c>
      <c r="E111" t="s">
        <v>172</v>
      </c>
      <c r="F111" s="5">
        <v>5.3280000000000003</v>
      </c>
      <c r="G111">
        <v>60</v>
      </c>
      <c r="H111">
        <v>1000</v>
      </c>
      <c r="I111">
        <v>2</v>
      </c>
      <c r="J111">
        <v>6496</v>
      </c>
      <c r="K111">
        <v>1014</v>
      </c>
      <c r="L111">
        <v>6296</v>
      </c>
      <c r="M111">
        <v>1001</v>
      </c>
      <c r="N111">
        <v>6022</v>
      </c>
      <c r="O111">
        <v>1055</v>
      </c>
      <c r="P111">
        <v>6018</v>
      </c>
      <c r="Q111">
        <v>1017</v>
      </c>
      <c r="R111" s="17">
        <f t="shared" si="3"/>
        <v>583715.59028694197</v>
      </c>
      <c r="S111" s="3">
        <v>1.07</v>
      </c>
      <c r="T111" s="17">
        <f t="shared" si="4"/>
        <v>624575.68160702789</v>
      </c>
      <c r="U111">
        <v>29904</v>
      </c>
      <c r="V111">
        <v>21827</v>
      </c>
      <c r="W111" s="3">
        <f t="shared" si="5"/>
        <v>43654</v>
      </c>
    </row>
    <row r="112" spans="1:23" x14ac:dyDescent="0.25">
      <c r="A112" s="26" t="s">
        <v>523</v>
      </c>
      <c r="B112" t="s">
        <v>21</v>
      </c>
      <c r="C112" t="s">
        <v>37</v>
      </c>
      <c r="D112" t="s">
        <v>357</v>
      </c>
      <c r="E112" t="s">
        <v>172</v>
      </c>
      <c r="F112" s="5">
        <v>3.8879999999999999</v>
      </c>
      <c r="G112">
        <v>0</v>
      </c>
      <c r="H112">
        <v>1002</v>
      </c>
      <c r="I112">
        <v>6</v>
      </c>
      <c r="J112">
        <v>4659</v>
      </c>
      <c r="K112">
        <v>1014</v>
      </c>
      <c r="L112">
        <v>4880</v>
      </c>
      <c r="M112">
        <v>1015</v>
      </c>
      <c r="N112">
        <v>4730</v>
      </c>
      <c r="O112">
        <v>1022</v>
      </c>
      <c r="P112">
        <v>4970</v>
      </c>
      <c r="Q112">
        <v>1021</v>
      </c>
      <c r="R112" s="17">
        <f t="shared" si="3"/>
        <v>1357976.98622307</v>
      </c>
      <c r="S112" s="3">
        <f>1309300/R112</f>
        <v>0.96415477823489859</v>
      </c>
      <c r="T112" s="17">
        <f t="shared" si="4"/>
        <v>1309300</v>
      </c>
      <c r="U112">
        <v>56405</v>
      </c>
      <c r="V112">
        <v>37897</v>
      </c>
      <c r="W112" s="3">
        <f t="shared" si="5"/>
        <v>226928.14371257485</v>
      </c>
    </row>
    <row r="113" spans="1:23" x14ac:dyDescent="0.25">
      <c r="A113" s="26" t="s">
        <v>524</v>
      </c>
      <c r="B113" t="s">
        <v>21</v>
      </c>
      <c r="C113" t="s">
        <v>37</v>
      </c>
      <c r="D113" t="s">
        <v>357</v>
      </c>
      <c r="E113" t="s">
        <v>172</v>
      </c>
      <c r="F113" s="5">
        <v>3.8879999999999999</v>
      </c>
      <c r="G113">
        <v>2</v>
      </c>
      <c r="H113">
        <v>1002</v>
      </c>
      <c r="I113">
        <v>6</v>
      </c>
      <c r="J113">
        <v>3888</v>
      </c>
      <c r="K113">
        <v>1028</v>
      </c>
      <c r="L113">
        <v>4098</v>
      </c>
      <c r="M113">
        <v>1008</v>
      </c>
      <c r="N113">
        <v>4009</v>
      </c>
      <c r="O113">
        <v>1025</v>
      </c>
      <c r="P113">
        <v>3981</v>
      </c>
      <c r="Q113">
        <v>1018</v>
      </c>
      <c r="R113" s="17">
        <f t="shared" si="3"/>
        <v>1125945.334657335</v>
      </c>
      <c r="S113" s="3">
        <v>0.96</v>
      </c>
      <c r="T113" s="17">
        <f t="shared" si="4"/>
        <v>1080907.5212710416</v>
      </c>
      <c r="U113">
        <v>44297</v>
      </c>
      <c r="V113">
        <v>29595</v>
      </c>
      <c r="W113" s="3">
        <f t="shared" si="5"/>
        <v>177215.56886227545</v>
      </c>
    </row>
    <row r="114" spans="1:23" x14ac:dyDescent="0.25">
      <c r="A114" s="26" t="s">
        <v>525</v>
      </c>
      <c r="B114" t="s">
        <v>21</v>
      </c>
      <c r="C114" t="s">
        <v>37</v>
      </c>
      <c r="D114" t="s">
        <v>357</v>
      </c>
      <c r="E114" t="s">
        <v>172</v>
      </c>
      <c r="F114" s="5">
        <v>3.8879999999999999</v>
      </c>
      <c r="G114">
        <v>5</v>
      </c>
      <c r="H114">
        <v>1002</v>
      </c>
      <c r="I114">
        <v>6</v>
      </c>
      <c r="J114">
        <v>4584</v>
      </c>
      <c r="K114">
        <v>1049</v>
      </c>
      <c r="L114">
        <v>4293</v>
      </c>
      <c r="M114">
        <v>1015</v>
      </c>
      <c r="N114">
        <v>4390</v>
      </c>
      <c r="O114">
        <v>1012</v>
      </c>
      <c r="P114">
        <v>4325</v>
      </c>
      <c r="Q114">
        <v>1007</v>
      </c>
      <c r="R114" s="17">
        <f t="shared" si="3"/>
        <v>1238250.0243280253</v>
      </c>
      <c r="S114" s="3">
        <v>0.96</v>
      </c>
      <c r="T114" s="17">
        <f t="shared" si="4"/>
        <v>1188720.0233549043</v>
      </c>
      <c r="U114">
        <v>50896</v>
      </c>
      <c r="V114">
        <v>33764</v>
      </c>
      <c r="W114" s="3">
        <f t="shared" si="5"/>
        <v>202179.64071856288</v>
      </c>
    </row>
    <row r="115" spans="1:23" x14ac:dyDescent="0.25">
      <c r="A115" s="26" t="s">
        <v>526</v>
      </c>
      <c r="B115" t="s">
        <v>21</v>
      </c>
      <c r="C115" t="s">
        <v>37</v>
      </c>
      <c r="D115" t="s">
        <v>357</v>
      </c>
      <c r="E115" t="s">
        <v>172</v>
      </c>
      <c r="F115" s="5">
        <v>3.8879999999999999</v>
      </c>
      <c r="G115">
        <v>10</v>
      </c>
      <c r="H115">
        <v>1002</v>
      </c>
      <c r="I115">
        <v>6</v>
      </c>
      <c r="J115">
        <v>4285</v>
      </c>
      <c r="K115">
        <v>1003</v>
      </c>
      <c r="L115">
        <v>4234</v>
      </c>
      <c r="M115">
        <v>1013</v>
      </c>
      <c r="N115">
        <v>4553</v>
      </c>
      <c r="O115">
        <v>1044</v>
      </c>
      <c r="P115">
        <v>4112</v>
      </c>
      <c r="Q115">
        <v>1019</v>
      </c>
      <c r="R115" s="17">
        <f t="shared" si="3"/>
        <v>1210655.40199183</v>
      </c>
      <c r="S115" s="3">
        <v>0.96</v>
      </c>
      <c r="T115" s="17">
        <f t="shared" si="4"/>
        <v>1162229.1859121567</v>
      </c>
      <c r="U115">
        <v>49159</v>
      </c>
      <c r="V115">
        <v>32027</v>
      </c>
      <c r="W115" s="3">
        <f t="shared" si="5"/>
        <v>191778.44311377246</v>
      </c>
    </row>
    <row r="116" spans="1:23" x14ac:dyDescent="0.25">
      <c r="A116" s="26" t="s">
        <v>527</v>
      </c>
      <c r="B116" t="s">
        <v>21</v>
      </c>
      <c r="C116" t="s">
        <v>37</v>
      </c>
      <c r="D116" t="s">
        <v>357</v>
      </c>
      <c r="E116" t="s">
        <v>172</v>
      </c>
      <c r="F116" s="5">
        <v>3.8879999999999999</v>
      </c>
      <c r="G116">
        <v>15</v>
      </c>
      <c r="H116">
        <v>1002</v>
      </c>
      <c r="I116">
        <v>6</v>
      </c>
      <c r="J116">
        <v>3830</v>
      </c>
      <c r="K116">
        <v>1014</v>
      </c>
      <c r="L116">
        <v>4050</v>
      </c>
      <c r="M116">
        <v>1009</v>
      </c>
      <c r="N116">
        <v>4165</v>
      </c>
      <c r="O116">
        <v>1024</v>
      </c>
      <c r="P116">
        <v>3987</v>
      </c>
      <c r="Q116">
        <v>1007</v>
      </c>
      <c r="R116" s="17">
        <f t="shared" si="3"/>
        <v>1136598.5573843447</v>
      </c>
      <c r="S116" s="3">
        <v>0.96</v>
      </c>
      <c r="T116" s="17">
        <f t="shared" si="4"/>
        <v>1091134.6150889709</v>
      </c>
      <c r="U116">
        <v>42421</v>
      </c>
      <c r="V116">
        <v>27848</v>
      </c>
      <c r="W116" s="3">
        <f t="shared" si="5"/>
        <v>166754.49101796409</v>
      </c>
    </row>
    <row r="117" spans="1:23" x14ac:dyDescent="0.25">
      <c r="A117" s="26" t="s">
        <v>528</v>
      </c>
      <c r="B117" t="s">
        <v>21</v>
      </c>
      <c r="C117" t="s">
        <v>37</v>
      </c>
      <c r="D117" t="s">
        <v>357</v>
      </c>
      <c r="E117" t="s">
        <v>172</v>
      </c>
      <c r="F117" s="5">
        <v>3.8879999999999999</v>
      </c>
      <c r="G117">
        <v>30</v>
      </c>
      <c r="H117">
        <v>1002</v>
      </c>
      <c r="I117">
        <v>6</v>
      </c>
      <c r="J117">
        <v>3301</v>
      </c>
      <c r="K117">
        <v>1000</v>
      </c>
      <c r="L117">
        <v>3406</v>
      </c>
      <c r="M117">
        <v>1014</v>
      </c>
      <c r="N117">
        <v>3525</v>
      </c>
      <c r="O117">
        <v>1010</v>
      </c>
      <c r="P117">
        <v>3567</v>
      </c>
      <c r="Q117">
        <v>1025</v>
      </c>
      <c r="R117" s="17">
        <f t="shared" si="3"/>
        <v>979406.46961978567</v>
      </c>
      <c r="S117" s="3">
        <v>0.96</v>
      </c>
      <c r="T117" s="17">
        <f t="shared" si="4"/>
        <v>940230.21083499421</v>
      </c>
      <c r="U117">
        <v>48716</v>
      </c>
      <c r="V117">
        <v>32238</v>
      </c>
      <c r="W117" s="3">
        <f t="shared" si="5"/>
        <v>193041.91616766469</v>
      </c>
    </row>
    <row r="118" spans="1:23" x14ac:dyDescent="0.25">
      <c r="A118" s="26" t="s">
        <v>529</v>
      </c>
      <c r="B118" t="s">
        <v>21</v>
      </c>
      <c r="C118" t="s">
        <v>37</v>
      </c>
      <c r="D118" t="s">
        <v>357</v>
      </c>
      <c r="E118" t="s">
        <v>172</v>
      </c>
      <c r="F118" s="5">
        <v>3.8879999999999999</v>
      </c>
      <c r="G118">
        <v>45</v>
      </c>
      <c r="H118">
        <v>1000</v>
      </c>
      <c r="I118">
        <v>2</v>
      </c>
      <c r="J118">
        <v>5927</v>
      </c>
      <c r="K118">
        <v>1007</v>
      </c>
      <c r="L118">
        <v>4615</v>
      </c>
      <c r="M118">
        <v>1012</v>
      </c>
      <c r="N118">
        <v>4620</v>
      </c>
      <c r="O118">
        <v>976</v>
      </c>
      <c r="P118">
        <v>4642</v>
      </c>
      <c r="Q118">
        <v>1006</v>
      </c>
      <c r="R118" s="17">
        <f t="shared" si="3"/>
        <v>475055.92216074961</v>
      </c>
      <c r="S118" s="3">
        <v>0.96</v>
      </c>
      <c r="T118" s="17">
        <f t="shared" si="4"/>
        <v>456053.68527431961</v>
      </c>
      <c r="U118">
        <v>25426</v>
      </c>
      <c r="V118">
        <v>19019</v>
      </c>
      <c r="W118" s="3">
        <f t="shared" si="5"/>
        <v>38038</v>
      </c>
    </row>
    <row r="119" spans="1:23" x14ac:dyDescent="0.25">
      <c r="A119" s="26" t="s">
        <v>530</v>
      </c>
      <c r="B119" t="s">
        <v>21</v>
      </c>
      <c r="C119" t="s">
        <v>37</v>
      </c>
      <c r="D119" t="s">
        <v>357</v>
      </c>
      <c r="E119" t="s">
        <v>172</v>
      </c>
      <c r="F119" s="5">
        <v>3.8879999999999999</v>
      </c>
      <c r="G119">
        <v>60</v>
      </c>
      <c r="H119">
        <v>1000</v>
      </c>
      <c r="I119">
        <v>2</v>
      </c>
      <c r="J119">
        <v>4290</v>
      </c>
      <c r="K119">
        <v>1018</v>
      </c>
      <c r="L119">
        <v>4411</v>
      </c>
      <c r="M119">
        <v>1008</v>
      </c>
      <c r="N119">
        <v>4624</v>
      </c>
      <c r="O119">
        <v>1015</v>
      </c>
      <c r="P119">
        <v>4485</v>
      </c>
      <c r="Q119">
        <v>1030</v>
      </c>
      <c r="R119" s="17">
        <f t="shared" si="3"/>
        <v>420004.11367837351</v>
      </c>
      <c r="S119" s="3">
        <v>0.96</v>
      </c>
      <c r="T119" s="17">
        <f t="shared" si="4"/>
        <v>403203.94913123857</v>
      </c>
      <c r="U119">
        <v>23931</v>
      </c>
      <c r="V119">
        <v>17857</v>
      </c>
      <c r="W119" s="3">
        <f t="shared" si="5"/>
        <v>35714</v>
      </c>
    </row>
    <row r="120" spans="1:23" x14ac:dyDescent="0.25">
      <c r="A120" s="26" t="s">
        <v>531</v>
      </c>
      <c r="B120" t="s">
        <v>21</v>
      </c>
      <c r="C120" t="s">
        <v>38</v>
      </c>
      <c r="D120" t="s">
        <v>357</v>
      </c>
      <c r="E120" t="s">
        <v>172</v>
      </c>
      <c r="F120" s="5">
        <v>5.32</v>
      </c>
      <c r="G120">
        <v>0</v>
      </c>
      <c r="H120">
        <v>1002</v>
      </c>
      <c r="I120">
        <v>6</v>
      </c>
      <c r="J120">
        <v>3993</v>
      </c>
      <c r="K120">
        <v>1000</v>
      </c>
      <c r="L120">
        <v>4220</v>
      </c>
      <c r="M120">
        <v>1018</v>
      </c>
      <c r="N120">
        <v>4346</v>
      </c>
      <c r="O120">
        <v>1008</v>
      </c>
      <c r="P120">
        <v>4074</v>
      </c>
      <c r="Q120">
        <v>1015</v>
      </c>
      <c r="R120" s="17">
        <f t="shared" si="3"/>
        <v>1183019.2199340323</v>
      </c>
      <c r="S120" s="3">
        <f>1309300/R120</f>
        <v>1.1067444872730041</v>
      </c>
      <c r="T120" s="17">
        <f t="shared" si="4"/>
        <v>1309299.9999999998</v>
      </c>
      <c r="U120">
        <v>57640</v>
      </c>
      <c r="V120">
        <v>39347</v>
      </c>
      <c r="W120" s="3">
        <f t="shared" si="5"/>
        <v>235610.77844311376</v>
      </c>
    </row>
    <row r="121" spans="1:23" x14ac:dyDescent="0.25">
      <c r="A121" s="26" t="s">
        <v>532</v>
      </c>
      <c r="B121" t="s">
        <v>21</v>
      </c>
      <c r="C121" t="s">
        <v>38</v>
      </c>
      <c r="D121" t="s">
        <v>357</v>
      </c>
      <c r="E121" t="s">
        <v>172</v>
      </c>
      <c r="F121" s="5">
        <v>5.32</v>
      </c>
      <c r="G121">
        <v>2</v>
      </c>
      <c r="H121">
        <v>1002</v>
      </c>
      <c r="I121">
        <v>6</v>
      </c>
      <c r="J121">
        <v>4495</v>
      </c>
      <c r="K121">
        <v>1009</v>
      </c>
      <c r="L121">
        <v>4629</v>
      </c>
      <c r="M121">
        <v>1011</v>
      </c>
      <c r="N121">
        <v>4654</v>
      </c>
      <c r="O121">
        <v>1025</v>
      </c>
      <c r="P121">
        <v>4463</v>
      </c>
      <c r="Q121">
        <v>1015</v>
      </c>
      <c r="R121" s="17">
        <f t="shared" si="3"/>
        <v>1291334.5869746478</v>
      </c>
      <c r="S121" s="3">
        <v>1.1100000000000001</v>
      </c>
      <c r="T121" s="17">
        <f t="shared" si="4"/>
        <v>1433381.3915418591</v>
      </c>
      <c r="U121">
        <v>52329</v>
      </c>
      <c r="V121">
        <v>34987</v>
      </c>
      <c r="W121" s="3">
        <f t="shared" si="5"/>
        <v>209502.99401197606</v>
      </c>
    </row>
    <row r="122" spans="1:23" x14ac:dyDescent="0.25">
      <c r="A122" s="26" t="s">
        <v>533</v>
      </c>
      <c r="B122" t="s">
        <v>21</v>
      </c>
      <c r="C122" t="s">
        <v>38</v>
      </c>
      <c r="D122" t="s">
        <v>357</v>
      </c>
      <c r="E122" t="s">
        <v>172</v>
      </c>
      <c r="F122" s="5">
        <v>5.32</v>
      </c>
      <c r="G122">
        <v>5</v>
      </c>
      <c r="H122">
        <v>1002</v>
      </c>
      <c r="I122">
        <v>6</v>
      </c>
      <c r="J122">
        <v>4516</v>
      </c>
      <c r="K122">
        <v>1025</v>
      </c>
      <c r="L122">
        <v>4570</v>
      </c>
      <c r="M122">
        <v>1009</v>
      </c>
      <c r="N122">
        <v>4710</v>
      </c>
      <c r="O122">
        <v>1014</v>
      </c>
      <c r="P122">
        <v>4532</v>
      </c>
      <c r="Q122">
        <v>1004</v>
      </c>
      <c r="R122" s="17">
        <f t="shared" si="3"/>
        <v>1300168.0357388023</v>
      </c>
      <c r="S122" s="3">
        <v>1.1100000000000001</v>
      </c>
      <c r="T122" s="17">
        <f t="shared" si="4"/>
        <v>1443186.5196700706</v>
      </c>
      <c r="U122">
        <v>49884</v>
      </c>
      <c r="V122">
        <v>32315</v>
      </c>
      <c r="W122" s="3">
        <f t="shared" si="5"/>
        <v>193502.99401197606</v>
      </c>
    </row>
    <row r="123" spans="1:23" x14ac:dyDescent="0.25">
      <c r="A123" s="26" t="s">
        <v>534</v>
      </c>
      <c r="B123" t="s">
        <v>21</v>
      </c>
      <c r="C123" t="s">
        <v>38</v>
      </c>
      <c r="D123" t="s">
        <v>357</v>
      </c>
      <c r="E123" t="s">
        <v>172</v>
      </c>
      <c r="F123" s="5">
        <v>5.32</v>
      </c>
      <c r="G123">
        <v>10</v>
      </c>
      <c r="H123">
        <v>1002</v>
      </c>
      <c r="I123">
        <v>6</v>
      </c>
      <c r="J123">
        <v>4300</v>
      </c>
      <c r="K123">
        <v>1005</v>
      </c>
      <c r="L123">
        <v>4312</v>
      </c>
      <c r="M123">
        <v>1015</v>
      </c>
      <c r="N123">
        <v>4408</v>
      </c>
      <c r="O123">
        <v>999</v>
      </c>
      <c r="P123">
        <v>4657</v>
      </c>
      <c r="Q123">
        <v>1002</v>
      </c>
      <c r="R123" s="17">
        <f t="shared" si="3"/>
        <v>1263736.5147645897</v>
      </c>
      <c r="S123" s="3">
        <v>1.1100000000000001</v>
      </c>
      <c r="T123" s="17">
        <f t="shared" si="4"/>
        <v>1402747.5313886947</v>
      </c>
      <c r="U123">
        <v>47795</v>
      </c>
      <c r="V123">
        <v>30932</v>
      </c>
      <c r="W123" s="3">
        <f t="shared" si="5"/>
        <v>185221.55688622754</v>
      </c>
    </row>
    <row r="124" spans="1:23" x14ac:dyDescent="0.25">
      <c r="A124" s="26" t="s">
        <v>535</v>
      </c>
      <c r="B124" t="s">
        <v>21</v>
      </c>
      <c r="C124" t="s">
        <v>38</v>
      </c>
      <c r="D124" t="s">
        <v>357</v>
      </c>
      <c r="E124" t="s">
        <v>172</v>
      </c>
      <c r="F124" s="5">
        <v>5.32</v>
      </c>
      <c r="G124">
        <v>15</v>
      </c>
      <c r="H124">
        <v>1002</v>
      </c>
      <c r="I124">
        <v>6</v>
      </c>
      <c r="J124">
        <v>4370</v>
      </c>
      <c r="K124">
        <v>1003</v>
      </c>
      <c r="L124">
        <v>4512</v>
      </c>
      <c r="M124">
        <v>1080</v>
      </c>
      <c r="N124">
        <v>4208</v>
      </c>
      <c r="O124">
        <v>1018</v>
      </c>
      <c r="P124">
        <v>4440</v>
      </c>
      <c r="Q124">
        <v>1022</v>
      </c>
      <c r="R124" s="17">
        <f t="shared" si="3"/>
        <v>1222471.2557317417</v>
      </c>
      <c r="S124" s="3">
        <v>1.1100000000000001</v>
      </c>
      <c r="T124" s="17">
        <f t="shared" si="4"/>
        <v>1356943.0938622335</v>
      </c>
      <c r="U124">
        <v>51256</v>
      </c>
      <c r="V124">
        <v>33728</v>
      </c>
      <c r="W124" s="3">
        <f t="shared" si="5"/>
        <v>201964.07185628742</v>
      </c>
    </row>
    <row r="125" spans="1:23" x14ac:dyDescent="0.25">
      <c r="A125" s="26" t="s">
        <v>536</v>
      </c>
      <c r="B125" t="s">
        <v>21</v>
      </c>
      <c r="C125" t="s">
        <v>38</v>
      </c>
      <c r="D125" t="s">
        <v>357</v>
      </c>
      <c r="E125" t="s">
        <v>172</v>
      </c>
      <c r="F125" s="5">
        <v>5.32</v>
      </c>
      <c r="G125">
        <v>30</v>
      </c>
      <c r="H125">
        <v>1002</v>
      </c>
      <c r="I125">
        <v>6</v>
      </c>
      <c r="J125">
        <v>3045</v>
      </c>
      <c r="K125">
        <v>1023</v>
      </c>
      <c r="L125">
        <v>3124</v>
      </c>
      <c r="M125">
        <v>1004</v>
      </c>
      <c r="N125">
        <v>2936</v>
      </c>
      <c r="O125">
        <v>1025</v>
      </c>
      <c r="P125">
        <v>3078</v>
      </c>
      <c r="Q125">
        <v>1030</v>
      </c>
      <c r="R125" s="17">
        <f t="shared" si="3"/>
        <v>858023.93768399407</v>
      </c>
      <c r="S125" s="3">
        <v>1.1100000000000001</v>
      </c>
      <c r="T125" s="17">
        <f t="shared" si="4"/>
        <v>952406.5708292335</v>
      </c>
      <c r="U125">
        <v>50649</v>
      </c>
      <c r="V125">
        <v>33826</v>
      </c>
      <c r="W125" s="3">
        <f t="shared" si="5"/>
        <v>202550.89820359283</v>
      </c>
    </row>
    <row r="126" spans="1:23" x14ac:dyDescent="0.25">
      <c r="A126" s="26" t="s">
        <v>537</v>
      </c>
      <c r="B126" t="s">
        <v>21</v>
      </c>
      <c r="C126" t="s">
        <v>38</v>
      </c>
      <c r="D126" t="s">
        <v>357</v>
      </c>
      <c r="E126" t="s">
        <v>172</v>
      </c>
      <c r="F126" s="5">
        <v>5.32</v>
      </c>
      <c r="G126">
        <v>45</v>
      </c>
      <c r="H126">
        <v>1000</v>
      </c>
      <c r="I126">
        <v>2</v>
      </c>
      <c r="J126">
        <v>5630</v>
      </c>
      <c r="K126">
        <v>1007</v>
      </c>
      <c r="L126">
        <v>5207</v>
      </c>
      <c r="M126">
        <v>1025</v>
      </c>
      <c r="N126">
        <v>4742</v>
      </c>
      <c r="O126">
        <v>1029</v>
      </c>
      <c r="P126">
        <v>4783</v>
      </c>
      <c r="Q126">
        <v>1018</v>
      </c>
      <c r="R126" s="17">
        <f t="shared" si="3"/>
        <v>479463.59692477598</v>
      </c>
      <c r="S126" s="3">
        <v>1.1100000000000001</v>
      </c>
      <c r="T126" s="17">
        <f t="shared" si="4"/>
        <v>532204.59258650139</v>
      </c>
      <c r="U126">
        <v>45303</v>
      </c>
      <c r="V126">
        <v>37445</v>
      </c>
      <c r="W126" s="3">
        <f t="shared" si="5"/>
        <v>74890</v>
      </c>
    </row>
    <row r="127" spans="1:23" x14ac:dyDescent="0.25">
      <c r="A127" s="26" t="s">
        <v>538</v>
      </c>
      <c r="B127" t="s">
        <v>21</v>
      </c>
      <c r="C127" t="s">
        <v>38</v>
      </c>
      <c r="D127" t="s">
        <v>357</v>
      </c>
      <c r="E127" t="s">
        <v>172</v>
      </c>
      <c r="F127" s="5">
        <v>5.32</v>
      </c>
      <c r="G127">
        <v>60</v>
      </c>
      <c r="H127">
        <v>1000</v>
      </c>
      <c r="I127">
        <v>2</v>
      </c>
      <c r="J127">
        <v>5341</v>
      </c>
      <c r="K127">
        <v>1018</v>
      </c>
      <c r="L127">
        <v>4812</v>
      </c>
      <c r="M127">
        <v>1023</v>
      </c>
      <c r="N127">
        <v>4767</v>
      </c>
      <c r="O127">
        <v>1049</v>
      </c>
      <c r="P127">
        <v>4482</v>
      </c>
      <c r="Q127">
        <v>1011</v>
      </c>
      <c r="R127" s="17">
        <f t="shared" si="3"/>
        <v>454270.47733187553</v>
      </c>
      <c r="S127" s="3">
        <v>1.1100000000000001</v>
      </c>
      <c r="T127" s="17">
        <f t="shared" si="4"/>
        <v>504240.22983838187</v>
      </c>
      <c r="U127">
        <v>27861</v>
      </c>
      <c r="V127">
        <v>21341</v>
      </c>
      <c r="W127" s="3">
        <f t="shared" si="5"/>
        <v>42682</v>
      </c>
    </row>
    <row r="128" spans="1:23" x14ac:dyDescent="0.25">
      <c r="A128" s="26" t="s">
        <v>539</v>
      </c>
      <c r="B128" t="s">
        <v>101</v>
      </c>
      <c r="C128" t="s">
        <v>633</v>
      </c>
      <c r="D128" t="s">
        <v>357</v>
      </c>
      <c r="E128" t="s">
        <v>172</v>
      </c>
      <c r="F128" s="5">
        <v>6.5270000000000001</v>
      </c>
      <c r="G128">
        <v>0</v>
      </c>
      <c r="H128">
        <v>1002</v>
      </c>
      <c r="I128">
        <v>6</v>
      </c>
      <c r="J128">
        <v>4208</v>
      </c>
      <c r="K128">
        <v>1028</v>
      </c>
      <c r="L128">
        <v>3861</v>
      </c>
      <c r="M128">
        <v>1023</v>
      </c>
      <c r="N128">
        <v>3974</v>
      </c>
      <c r="O128">
        <v>1038</v>
      </c>
      <c r="P128">
        <v>4306</v>
      </c>
      <c r="Q128">
        <v>1082</v>
      </c>
      <c r="R128" s="17">
        <f t="shared" si="3"/>
        <v>1126402.0902649448</v>
      </c>
      <c r="S128" s="3">
        <f>1309300/R128</f>
        <v>1.1623735532060626</v>
      </c>
      <c r="T128" s="17">
        <f t="shared" si="4"/>
        <v>1309300</v>
      </c>
      <c r="U128">
        <v>8690</v>
      </c>
      <c r="V128">
        <v>3392</v>
      </c>
      <c r="W128" s="3">
        <f t="shared" si="5"/>
        <v>20311.377245508982</v>
      </c>
    </row>
    <row r="129" spans="1:23" x14ac:dyDescent="0.25">
      <c r="A129" s="26" t="s">
        <v>540</v>
      </c>
      <c r="B129" t="s">
        <v>101</v>
      </c>
      <c r="C129" t="s">
        <v>633</v>
      </c>
      <c r="D129" t="s">
        <v>357</v>
      </c>
      <c r="E129" t="s">
        <v>172</v>
      </c>
      <c r="F129" s="5">
        <v>6.5270000000000001</v>
      </c>
      <c r="G129">
        <v>2</v>
      </c>
      <c r="H129">
        <v>1002</v>
      </c>
      <c r="I129">
        <v>6</v>
      </c>
      <c r="J129">
        <v>3237</v>
      </c>
      <c r="K129">
        <v>1010</v>
      </c>
      <c r="L129">
        <v>3264</v>
      </c>
      <c r="M129">
        <v>989</v>
      </c>
      <c r="N129">
        <v>3318</v>
      </c>
      <c r="O129">
        <v>1020</v>
      </c>
      <c r="P129">
        <v>3472</v>
      </c>
      <c r="Q129">
        <v>1037</v>
      </c>
      <c r="R129" s="17">
        <f t="shared" si="3"/>
        <v>941771.10782680009</v>
      </c>
      <c r="S129" s="3">
        <v>1.1599999999999999</v>
      </c>
      <c r="T129" s="17">
        <f t="shared" si="4"/>
        <v>1092454.485079088</v>
      </c>
      <c r="U129">
        <v>7088</v>
      </c>
      <c r="V129">
        <v>2584</v>
      </c>
      <c r="W129" s="3">
        <f t="shared" si="5"/>
        <v>15473.053892215568</v>
      </c>
    </row>
    <row r="130" spans="1:23" x14ac:dyDescent="0.25">
      <c r="A130" s="26" t="s">
        <v>541</v>
      </c>
      <c r="B130" t="s">
        <v>101</v>
      </c>
      <c r="C130" t="s">
        <v>633</v>
      </c>
      <c r="D130" t="s">
        <v>357</v>
      </c>
      <c r="E130" t="s">
        <v>172</v>
      </c>
      <c r="F130" s="5">
        <v>6.5270000000000001</v>
      </c>
      <c r="G130">
        <v>5</v>
      </c>
      <c r="H130">
        <v>1002</v>
      </c>
      <c r="I130">
        <v>6</v>
      </c>
      <c r="J130">
        <v>3040</v>
      </c>
      <c r="K130">
        <v>1018</v>
      </c>
      <c r="L130">
        <v>3043</v>
      </c>
      <c r="M130">
        <v>1021</v>
      </c>
      <c r="N130">
        <v>3115</v>
      </c>
      <c r="O130">
        <v>1012</v>
      </c>
      <c r="P130">
        <v>3138</v>
      </c>
      <c r="Q130">
        <v>1021</v>
      </c>
      <c r="R130" s="17">
        <f t="shared" si="3"/>
        <v>870767.3921987419</v>
      </c>
      <c r="S130" s="3">
        <v>1.1599999999999999</v>
      </c>
      <c r="T130" s="17">
        <f t="shared" si="4"/>
        <v>1010090.1749505405</v>
      </c>
      <c r="U130">
        <v>7083</v>
      </c>
      <c r="V130">
        <v>2777</v>
      </c>
      <c r="W130" s="3">
        <f t="shared" si="5"/>
        <v>16628.742514970061</v>
      </c>
    </row>
    <row r="131" spans="1:23" x14ac:dyDescent="0.25">
      <c r="A131" s="26" t="s">
        <v>542</v>
      </c>
      <c r="B131" t="s">
        <v>101</v>
      </c>
      <c r="C131" t="s">
        <v>633</v>
      </c>
      <c r="D131" t="s">
        <v>357</v>
      </c>
      <c r="E131" t="s">
        <v>172</v>
      </c>
      <c r="F131" s="5">
        <v>6.5270000000000001</v>
      </c>
      <c r="G131">
        <v>10</v>
      </c>
      <c r="H131">
        <v>1002</v>
      </c>
      <c r="I131">
        <v>6</v>
      </c>
      <c r="J131">
        <v>3077</v>
      </c>
      <c r="K131">
        <v>1012</v>
      </c>
      <c r="L131">
        <v>3131</v>
      </c>
      <c r="M131">
        <v>1051</v>
      </c>
      <c r="N131">
        <v>3209</v>
      </c>
      <c r="O131">
        <v>1065</v>
      </c>
      <c r="P131">
        <v>3144</v>
      </c>
      <c r="Q131">
        <v>1013</v>
      </c>
      <c r="R131" s="17">
        <f t="shared" ref="R131:R194" si="6">AVERAGE(J131/K131,L131/M131,N131/O131,P131/Q131)*(48000/H131)*I131*1000</f>
        <v>872075.16976407799</v>
      </c>
      <c r="S131" s="3">
        <v>1.1599999999999999</v>
      </c>
      <c r="T131" s="17">
        <f t="shared" ref="T131:T194" si="7">R131*S131</f>
        <v>1011607.1969263304</v>
      </c>
      <c r="U131">
        <v>7368</v>
      </c>
      <c r="V131">
        <v>2870</v>
      </c>
      <c r="W131" s="3">
        <f t="shared" ref="W131:W194" si="8">V131*I131/H131*1000</f>
        <v>17185.628742514971</v>
      </c>
    </row>
    <row r="132" spans="1:23" x14ac:dyDescent="0.25">
      <c r="A132" s="26" t="s">
        <v>543</v>
      </c>
      <c r="B132" t="s">
        <v>101</v>
      </c>
      <c r="C132" t="s">
        <v>633</v>
      </c>
      <c r="D132" t="s">
        <v>357</v>
      </c>
      <c r="E132" t="s">
        <v>172</v>
      </c>
      <c r="F132" s="5">
        <v>6.5270000000000001</v>
      </c>
      <c r="G132">
        <v>15</v>
      </c>
      <c r="H132">
        <v>1002</v>
      </c>
      <c r="I132">
        <v>6</v>
      </c>
      <c r="J132">
        <v>3013</v>
      </c>
      <c r="K132">
        <v>1008</v>
      </c>
      <c r="L132">
        <v>3130</v>
      </c>
      <c r="M132">
        <v>1012</v>
      </c>
      <c r="N132">
        <v>3048</v>
      </c>
      <c r="O132">
        <v>1016</v>
      </c>
      <c r="P132">
        <v>3220</v>
      </c>
      <c r="Q132">
        <v>1028</v>
      </c>
      <c r="R132" s="17">
        <f t="shared" si="6"/>
        <v>877671.98061741772</v>
      </c>
      <c r="S132" s="3">
        <v>1.1599999999999999</v>
      </c>
      <c r="T132" s="17">
        <f t="shared" si="7"/>
        <v>1018099.4975162045</v>
      </c>
      <c r="U132">
        <v>7167</v>
      </c>
      <c r="V132">
        <v>2884</v>
      </c>
      <c r="W132" s="3">
        <f t="shared" si="8"/>
        <v>17269.461077844313</v>
      </c>
    </row>
    <row r="133" spans="1:23" x14ac:dyDescent="0.25">
      <c r="A133" s="26" t="s">
        <v>544</v>
      </c>
      <c r="B133" t="s">
        <v>101</v>
      </c>
      <c r="C133" t="s">
        <v>633</v>
      </c>
      <c r="D133" t="s">
        <v>357</v>
      </c>
      <c r="E133" t="s">
        <v>172</v>
      </c>
      <c r="F133" s="5">
        <v>6.5270000000000001</v>
      </c>
      <c r="G133">
        <v>30</v>
      </c>
      <c r="H133">
        <v>1002</v>
      </c>
      <c r="I133">
        <v>6</v>
      </c>
      <c r="J133">
        <v>3037</v>
      </c>
      <c r="K133">
        <v>1003</v>
      </c>
      <c r="L133">
        <v>3048</v>
      </c>
      <c r="M133">
        <v>1014</v>
      </c>
      <c r="N133">
        <v>3255</v>
      </c>
      <c r="O133">
        <v>1027</v>
      </c>
      <c r="P133">
        <v>3054</v>
      </c>
      <c r="Q133">
        <v>1009</v>
      </c>
      <c r="R133" s="17">
        <f t="shared" si="6"/>
        <v>878803.69506824948</v>
      </c>
      <c r="S133" s="3">
        <v>1.1599999999999999</v>
      </c>
      <c r="T133" s="17">
        <f t="shared" si="7"/>
        <v>1019412.2862791694</v>
      </c>
      <c r="U133">
        <v>7221</v>
      </c>
      <c r="V133">
        <v>2951</v>
      </c>
      <c r="W133" s="3">
        <f t="shared" si="8"/>
        <v>17670.65868263473</v>
      </c>
    </row>
    <row r="134" spans="1:23" x14ac:dyDescent="0.25">
      <c r="A134" s="26" t="s">
        <v>545</v>
      </c>
      <c r="B134" t="s">
        <v>101</v>
      </c>
      <c r="C134" t="s">
        <v>634</v>
      </c>
      <c r="D134" t="s">
        <v>357</v>
      </c>
      <c r="E134" t="s">
        <v>172</v>
      </c>
      <c r="F134" s="5">
        <v>6.36</v>
      </c>
      <c r="G134">
        <v>0</v>
      </c>
      <c r="H134">
        <v>1002</v>
      </c>
      <c r="I134">
        <v>6</v>
      </c>
      <c r="J134">
        <v>3426</v>
      </c>
      <c r="K134">
        <v>1007</v>
      </c>
      <c r="L134">
        <v>3579</v>
      </c>
      <c r="M134">
        <v>1022</v>
      </c>
      <c r="N134">
        <v>3673</v>
      </c>
      <c r="O134">
        <v>1012</v>
      </c>
      <c r="P134">
        <v>3416</v>
      </c>
      <c r="Q134">
        <v>1014</v>
      </c>
      <c r="R134" s="17">
        <f t="shared" si="6"/>
        <v>998976.61698987975</v>
      </c>
      <c r="S134" s="3">
        <f>1309300/R134</f>
        <v>1.3106412880265286</v>
      </c>
      <c r="T134" s="17">
        <f t="shared" si="7"/>
        <v>1309300</v>
      </c>
      <c r="U134">
        <v>7781</v>
      </c>
      <c r="V134">
        <v>2905</v>
      </c>
      <c r="W134" s="3">
        <f t="shared" si="8"/>
        <v>17395.209580838324</v>
      </c>
    </row>
    <row r="135" spans="1:23" x14ac:dyDescent="0.25">
      <c r="A135" s="26" t="s">
        <v>580</v>
      </c>
      <c r="B135" t="s">
        <v>101</v>
      </c>
      <c r="C135" t="s">
        <v>634</v>
      </c>
      <c r="D135" t="s">
        <v>357</v>
      </c>
      <c r="E135" t="s">
        <v>172</v>
      </c>
      <c r="F135" s="5">
        <v>6.36</v>
      </c>
      <c r="G135">
        <v>2</v>
      </c>
      <c r="H135">
        <v>1002</v>
      </c>
      <c r="I135">
        <v>6</v>
      </c>
      <c r="J135">
        <v>3319</v>
      </c>
      <c r="K135">
        <v>1024</v>
      </c>
      <c r="L135">
        <v>3599</v>
      </c>
      <c r="M135">
        <v>1011</v>
      </c>
      <c r="N135">
        <v>3800</v>
      </c>
      <c r="O135">
        <v>1012</v>
      </c>
      <c r="P135">
        <v>3764</v>
      </c>
      <c r="Q135">
        <v>1010</v>
      </c>
      <c r="R135" s="17">
        <f t="shared" si="6"/>
        <v>1026303.6692033836</v>
      </c>
      <c r="S135" s="3">
        <v>1.31</v>
      </c>
      <c r="T135" s="17">
        <f t="shared" si="7"/>
        <v>1344457.8066564326</v>
      </c>
      <c r="U135">
        <v>7528</v>
      </c>
      <c r="V135">
        <v>2432</v>
      </c>
      <c r="W135" s="3">
        <f t="shared" si="8"/>
        <v>14562.874251497005</v>
      </c>
    </row>
    <row r="136" spans="1:23" x14ac:dyDescent="0.25">
      <c r="A136" s="26" t="s">
        <v>546</v>
      </c>
      <c r="B136" t="s">
        <v>101</v>
      </c>
      <c r="C136" t="s">
        <v>634</v>
      </c>
      <c r="D136" t="s">
        <v>357</v>
      </c>
      <c r="E136" t="s">
        <v>172</v>
      </c>
      <c r="F136" s="5">
        <v>6.36</v>
      </c>
      <c r="G136">
        <v>5</v>
      </c>
      <c r="H136">
        <v>1002</v>
      </c>
      <c r="I136">
        <v>6</v>
      </c>
      <c r="J136">
        <v>3720</v>
      </c>
      <c r="K136">
        <v>1013</v>
      </c>
      <c r="L136">
        <v>3661</v>
      </c>
      <c r="M136">
        <v>1007</v>
      </c>
      <c r="N136">
        <v>3818</v>
      </c>
      <c r="O136">
        <v>1086</v>
      </c>
      <c r="P136">
        <v>3468</v>
      </c>
      <c r="Q136">
        <v>1010</v>
      </c>
      <c r="R136" s="17">
        <f t="shared" si="6"/>
        <v>1024464.3517874234</v>
      </c>
      <c r="S136" s="3">
        <v>1.31</v>
      </c>
      <c r="T136" s="17">
        <f t="shared" si="7"/>
        <v>1342048.3008415247</v>
      </c>
      <c r="U136">
        <v>7886</v>
      </c>
      <c r="V136">
        <v>2688</v>
      </c>
      <c r="W136" s="3">
        <f t="shared" si="8"/>
        <v>16095.808383233532</v>
      </c>
    </row>
    <row r="137" spans="1:23" x14ac:dyDescent="0.25">
      <c r="A137" s="26" t="s">
        <v>547</v>
      </c>
      <c r="B137" t="s">
        <v>101</v>
      </c>
      <c r="C137" t="s">
        <v>634</v>
      </c>
      <c r="D137" t="s">
        <v>357</v>
      </c>
      <c r="E137" t="s">
        <v>172</v>
      </c>
      <c r="F137" s="5">
        <v>6.36</v>
      </c>
      <c r="G137">
        <v>10</v>
      </c>
      <c r="H137">
        <v>1002</v>
      </c>
      <c r="I137">
        <v>6</v>
      </c>
      <c r="J137">
        <v>2779</v>
      </c>
      <c r="K137">
        <v>1001</v>
      </c>
      <c r="L137">
        <v>2813</v>
      </c>
      <c r="M137">
        <v>1001</v>
      </c>
      <c r="N137">
        <v>2847</v>
      </c>
      <c r="O137">
        <v>1031</v>
      </c>
      <c r="P137">
        <v>2739</v>
      </c>
      <c r="Q137">
        <v>1006</v>
      </c>
      <c r="R137" s="17">
        <f t="shared" si="6"/>
        <v>795483.18356040725</v>
      </c>
      <c r="S137" s="3">
        <v>1.31</v>
      </c>
      <c r="T137" s="17">
        <f t="shared" si="7"/>
        <v>1042082.9704641335</v>
      </c>
      <c r="U137">
        <v>6840</v>
      </c>
      <c r="V137">
        <v>2520</v>
      </c>
      <c r="W137" s="3">
        <f t="shared" si="8"/>
        <v>15089.820359281437</v>
      </c>
    </row>
    <row r="138" spans="1:23" x14ac:dyDescent="0.25">
      <c r="A138" s="26" t="s">
        <v>548</v>
      </c>
      <c r="B138" t="s">
        <v>101</v>
      </c>
      <c r="C138" t="s">
        <v>634</v>
      </c>
      <c r="D138" t="s">
        <v>357</v>
      </c>
      <c r="E138" t="s">
        <v>172</v>
      </c>
      <c r="F138" s="5">
        <v>6.36</v>
      </c>
      <c r="G138">
        <v>15</v>
      </c>
      <c r="H138">
        <v>1002</v>
      </c>
      <c r="I138">
        <v>6</v>
      </c>
      <c r="J138">
        <v>2947</v>
      </c>
      <c r="K138">
        <v>1015</v>
      </c>
      <c r="L138">
        <v>3489</v>
      </c>
      <c r="M138">
        <v>1095</v>
      </c>
      <c r="N138">
        <v>3115</v>
      </c>
      <c r="O138">
        <v>1008</v>
      </c>
      <c r="P138">
        <v>3150</v>
      </c>
      <c r="Q138">
        <v>1017</v>
      </c>
      <c r="R138" s="17">
        <f t="shared" si="6"/>
        <v>882206.41122727352</v>
      </c>
      <c r="S138" s="3">
        <v>1.31</v>
      </c>
      <c r="T138" s="17">
        <f t="shared" si="7"/>
        <v>1155690.3987077284</v>
      </c>
      <c r="U138">
        <v>6720</v>
      </c>
      <c r="V138">
        <v>2356</v>
      </c>
      <c r="W138" s="3">
        <f t="shared" si="8"/>
        <v>14107.784431137725</v>
      </c>
    </row>
    <row r="139" spans="1:23" x14ac:dyDescent="0.25">
      <c r="A139" s="26" t="s">
        <v>549</v>
      </c>
      <c r="B139" t="s">
        <v>101</v>
      </c>
      <c r="C139" t="s">
        <v>634</v>
      </c>
      <c r="D139" t="s">
        <v>357</v>
      </c>
      <c r="E139" t="s">
        <v>172</v>
      </c>
      <c r="F139" s="5">
        <v>6.36</v>
      </c>
      <c r="G139">
        <v>30</v>
      </c>
      <c r="H139">
        <v>1002</v>
      </c>
      <c r="I139">
        <v>6</v>
      </c>
      <c r="J139">
        <v>3112</v>
      </c>
      <c r="K139">
        <v>1015</v>
      </c>
      <c r="L139">
        <v>3144</v>
      </c>
      <c r="M139">
        <v>1013</v>
      </c>
      <c r="N139">
        <v>2953</v>
      </c>
      <c r="O139">
        <v>1005</v>
      </c>
      <c r="P139">
        <v>3055</v>
      </c>
      <c r="Q139">
        <v>1011</v>
      </c>
      <c r="R139" s="17">
        <f t="shared" si="6"/>
        <v>871597.47019690147</v>
      </c>
      <c r="S139" s="3">
        <v>1.31</v>
      </c>
      <c r="T139" s="17">
        <f t="shared" si="7"/>
        <v>1141792.685957941</v>
      </c>
      <c r="U139">
        <v>8523</v>
      </c>
      <c r="V139">
        <v>4006</v>
      </c>
      <c r="W139" s="3">
        <f t="shared" si="8"/>
        <v>23988.023952095809</v>
      </c>
    </row>
    <row r="140" spans="1:23" x14ac:dyDescent="0.25">
      <c r="A140" s="26" t="s">
        <v>550</v>
      </c>
      <c r="B140" t="s">
        <v>101</v>
      </c>
      <c r="C140" t="s">
        <v>635</v>
      </c>
      <c r="D140" t="s">
        <v>357</v>
      </c>
      <c r="E140" t="s">
        <v>172</v>
      </c>
      <c r="F140" s="5">
        <v>3.12</v>
      </c>
      <c r="G140">
        <v>0</v>
      </c>
      <c r="H140">
        <v>1002</v>
      </c>
      <c r="I140">
        <v>6</v>
      </c>
      <c r="J140">
        <v>3672</v>
      </c>
      <c r="K140">
        <v>1009</v>
      </c>
      <c r="L140">
        <v>3796</v>
      </c>
      <c r="M140">
        <v>1019</v>
      </c>
      <c r="N140">
        <v>3542</v>
      </c>
      <c r="O140">
        <v>1021</v>
      </c>
      <c r="P140">
        <v>3549</v>
      </c>
      <c r="Q140">
        <v>1004</v>
      </c>
      <c r="R140" s="17">
        <f t="shared" si="6"/>
        <v>1032465.3438819073</v>
      </c>
      <c r="S140" s="3">
        <f>1309300/R140</f>
        <v>1.2681297321586</v>
      </c>
      <c r="T140" s="17">
        <f t="shared" si="7"/>
        <v>1309300</v>
      </c>
      <c r="U140">
        <v>8136</v>
      </c>
      <c r="V140">
        <v>3322</v>
      </c>
      <c r="W140" s="3">
        <f t="shared" si="8"/>
        <v>19892.215568862277</v>
      </c>
    </row>
    <row r="141" spans="1:23" x14ac:dyDescent="0.25">
      <c r="A141" s="26" t="s">
        <v>551</v>
      </c>
      <c r="B141" t="s">
        <v>101</v>
      </c>
      <c r="C141" t="s">
        <v>635</v>
      </c>
      <c r="D141" t="s">
        <v>357</v>
      </c>
      <c r="E141" t="s">
        <v>172</v>
      </c>
      <c r="F141" s="5">
        <v>3.12</v>
      </c>
      <c r="G141">
        <v>2</v>
      </c>
      <c r="H141">
        <v>1002</v>
      </c>
      <c r="I141">
        <v>6</v>
      </c>
      <c r="J141">
        <v>4216</v>
      </c>
      <c r="K141">
        <v>1002</v>
      </c>
      <c r="L141">
        <v>4157</v>
      </c>
      <c r="M141">
        <v>1009</v>
      </c>
      <c r="N141">
        <v>4196</v>
      </c>
      <c r="O141">
        <v>1012</v>
      </c>
      <c r="P141">
        <v>4178</v>
      </c>
      <c r="Q141">
        <v>1017</v>
      </c>
      <c r="R141" s="17">
        <f t="shared" si="6"/>
        <v>1191514.6248006751</v>
      </c>
      <c r="S141" s="3">
        <v>1.27</v>
      </c>
      <c r="T141" s="17">
        <f t="shared" si="7"/>
        <v>1513223.5734968574</v>
      </c>
      <c r="U141">
        <v>8528</v>
      </c>
      <c r="V141">
        <v>3025</v>
      </c>
      <c r="W141" s="3">
        <f t="shared" si="8"/>
        <v>18113.77245508982</v>
      </c>
    </row>
    <row r="142" spans="1:23" x14ac:dyDescent="0.25">
      <c r="A142" s="26" t="s">
        <v>552</v>
      </c>
      <c r="B142" t="s">
        <v>101</v>
      </c>
      <c r="C142" t="s">
        <v>635</v>
      </c>
      <c r="D142" t="s">
        <v>357</v>
      </c>
      <c r="E142" t="s">
        <v>172</v>
      </c>
      <c r="F142" s="5">
        <v>3.12</v>
      </c>
      <c r="G142">
        <v>5</v>
      </c>
      <c r="H142">
        <v>1002</v>
      </c>
      <c r="I142">
        <v>6</v>
      </c>
      <c r="J142">
        <v>3406</v>
      </c>
      <c r="K142">
        <v>1007</v>
      </c>
      <c r="L142">
        <v>3606</v>
      </c>
      <c r="M142">
        <v>1017</v>
      </c>
      <c r="N142">
        <v>3751</v>
      </c>
      <c r="O142">
        <v>1037</v>
      </c>
      <c r="P142">
        <v>3825</v>
      </c>
      <c r="Q142">
        <v>1043</v>
      </c>
      <c r="R142" s="17">
        <f t="shared" si="6"/>
        <v>1021258.720597908</v>
      </c>
      <c r="S142" s="3">
        <v>1.27</v>
      </c>
      <c r="T142" s="17">
        <f t="shared" si="7"/>
        <v>1296998.5751593432</v>
      </c>
      <c r="U142">
        <v>7571</v>
      </c>
      <c r="V142">
        <v>2508</v>
      </c>
      <c r="W142" s="3">
        <f t="shared" si="8"/>
        <v>15017.964071856288</v>
      </c>
    </row>
    <row r="143" spans="1:23" x14ac:dyDescent="0.25">
      <c r="A143" s="26" t="s">
        <v>553</v>
      </c>
      <c r="B143" t="s">
        <v>101</v>
      </c>
      <c r="C143" t="s">
        <v>635</v>
      </c>
      <c r="D143" t="s">
        <v>357</v>
      </c>
      <c r="E143" t="s">
        <v>172</v>
      </c>
      <c r="F143" s="5">
        <v>3.12</v>
      </c>
      <c r="G143">
        <v>10</v>
      </c>
      <c r="H143">
        <v>1002</v>
      </c>
      <c r="I143">
        <v>6</v>
      </c>
      <c r="J143">
        <v>3159</v>
      </c>
      <c r="K143">
        <v>1015</v>
      </c>
      <c r="L143">
        <v>3146</v>
      </c>
      <c r="M143">
        <v>1025</v>
      </c>
      <c r="N143">
        <v>3210</v>
      </c>
      <c r="O143">
        <v>1020</v>
      </c>
      <c r="P143">
        <v>3160</v>
      </c>
      <c r="Q143">
        <v>1014</v>
      </c>
      <c r="R143" s="17">
        <f t="shared" si="6"/>
        <v>894252.44520911144</v>
      </c>
      <c r="S143" s="3">
        <v>1.27</v>
      </c>
      <c r="T143" s="17">
        <f t="shared" si="7"/>
        <v>1135700.6054155715</v>
      </c>
      <c r="U143">
        <v>6877</v>
      </c>
      <c r="V143">
        <v>2450</v>
      </c>
      <c r="W143" s="3">
        <f t="shared" si="8"/>
        <v>14670.65868263473</v>
      </c>
    </row>
    <row r="144" spans="1:23" x14ac:dyDescent="0.25">
      <c r="A144" s="26" t="s">
        <v>554</v>
      </c>
      <c r="B144" t="s">
        <v>101</v>
      </c>
      <c r="C144" t="s">
        <v>635</v>
      </c>
      <c r="D144" t="s">
        <v>357</v>
      </c>
      <c r="E144" t="s">
        <v>172</v>
      </c>
      <c r="F144" s="5">
        <v>3.12</v>
      </c>
      <c r="G144">
        <v>15</v>
      </c>
      <c r="H144">
        <v>1002</v>
      </c>
      <c r="I144">
        <v>6</v>
      </c>
      <c r="J144">
        <v>3693</v>
      </c>
      <c r="K144">
        <v>1003</v>
      </c>
      <c r="L144">
        <v>3610</v>
      </c>
      <c r="M144">
        <v>1014</v>
      </c>
      <c r="N144">
        <v>3633</v>
      </c>
      <c r="O144">
        <v>1019</v>
      </c>
      <c r="P144">
        <v>3746</v>
      </c>
      <c r="Q144">
        <v>995</v>
      </c>
      <c r="R144" s="17">
        <f t="shared" si="6"/>
        <v>1047103.9119519901</v>
      </c>
      <c r="S144" s="3">
        <v>1.27</v>
      </c>
      <c r="T144" s="17">
        <f t="shared" si="7"/>
        <v>1329821.9681790275</v>
      </c>
      <c r="U144">
        <v>7945</v>
      </c>
      <c r="V144">
        <v>3116</v>
      </c>
      <c r="W144" s="3">
        <f t="shared" si="8"/>
        <v>18658.68263473054</v>
      </c>
    </row>
    <row r="145" spans="1:23" x14ac:dyDescent="0.25">
      <c r="A145" s="26" t="s">
        <v>555</v>
      </c>
      <c r="B145" t="s">
        <v>101</v>
      </c>
      <c r="C145" t="s">
        <v>635</v>
      </c>
      <c r="D145" t="s">
        <v>357</v>
      </c>
      <c r="E145" t="s">
        <v>172</v>
      </c>
      <c r="F145" s="5">
        <v>3.12</v>
      </c>
      <c r="G145">
        <v>30</v>
      </c>
      <c r="H145">
        <v>1002</v>
      </c>
      <c r="I145">
        <v>6</v>
      </c>
      <c r="J145">
        <v>3220</v>
      </c>
      <c r="K145">
        <v>1006</v>
      </c>
      <c r="L145">
        <v>3195</v>
      </c>
      <c r="M145">
        <v>1005</v>
      </c>
      <c r="N145">
        <v>3244</v>
      </c>
      <c r="O145">
        <v>1005</v>
      </c>
      <c r="P145">
        <v>3081</v>
      </c>
      <c r="Q145">
        <v>1001</v>
      </c>
      <c r="R145" s="17">
        <f t="shared" si="6"/>
        <v>911546.04651590367</v>
      </c>
      <c r="S145" s="3">
        <v>1.27</v>
      </c>
      <c r="T145" s="17">
        <f t="shared" si="7"/>
        <v>1157663.4790751976</v>
      </c>
      <c r="U145">
        <v>8144</v>
      </c>
      <c r="V145">
        <v>3328</v>
      </c>
      <c r="W145" s="3">
        <f t="shared" si="8"/>
        <v>19928.143712574853</v>
      </c>
    </row>
    <row r="146" spans="1:23" x14ac:dyDescent="0.25">
      <c r="A146" s="26" t="s">
        <v>556</v>
      </c>
      <c r="B146" t="s">
        <v>101</v>
      </c>
      <c r="C146" t="s">
        <v>636</v>
      </c>
      <c r="D146" t="s">
        <v>357</v>
      </c>
      <c r="E146" t="s">
        <v>172</v>
      </c>
      <c r="F146" s="5">
        <v>4.4240000000000004</v>
      </c>
      <c r="G146">
        <v>0</v>
      </c>
      <c r="H146">
        <v>1002</v>
      </c>
      <c r="I146">
        <v>6</v>
      </c>
      <c r="J146">
        <v>4473</v>
      </c>
      <c r="K146">
        <v>1037</v>
      </c>
      <c r="L146">
        <v>3866</v>
      </c>
      <c r="M146">
        <v>1009</v>
      </c>
      <c r="N146">
        <v>4026</v>
      </c>
      <c r="O146">
        <v>1011</v>
      </c>
      <c r="P146">
        <v>4296</v>
      </c>
      <c r="Q146">
        <v>1003</v>
      </c>
      <c r="R146" s="17">
        <f t="shared" si="6"/>
        <v>1179180.8476901669</v>
      </c>
      <c r="S146" s="3">
        <f>1309300/R146</f>
        <v>1.1103470706505423</v>
      </c>
      <c r="T146" s="17">
        <f t="shared" si="7"/>
        <v>1309300</v>
      </c>
      <c r="U146">
        <v>8830</v>
      </c>
      <c r="V146">
        <v>3476</v>
      </c>
      <c r="W146" s="3">
        <f t="shared" si="8"/>
        <v>20814.371257485029</v>
      </c>
    </row>
    <row r="147" spans="1:23" x14ac:dyDescent="0.25">
      <c r="A147" s="26" t="s">
        <v>557</v>
      </c>
      <c r="B147" t="s">
        <v>101</v>
      </c>
      <c r="C147" t="s">
        <v>636</v>
      </c>
      <c r="D147" t="s">
        <v>357</v>
      </c>
      <c r="E147" t="s">
        <v>172</v>
      </c>
      <c r="F147" s="5">
        <v>4.4240000000000004</v>
      </c>
      <c r="G147">
        <v>2</v>
      </c>
      <c r="H147">
        <v>1002</v>
      </c>
      <c r="I147">
        <v>6</v>
      </c>
      <c r="J147">
        <v>3450</v>
      </c>
      <c r="K147">
        <v>1009</v>
      </c>
      <c r="L147">
        <v>3594</v>
      </c>
      <c r="M147">
        <v>1009</v>
      </c>
      <c r="N147">
        <v>3539</v>
      </c>
      <c r="O147">
        <v>1006</v>
      </c>
      <c r="P147">
        <v>3964</v>
      </c>
      <c r="Q147">
        <v>1013</v>
      </c>
      <c r="R147" s="17">
        <f t="shared" si="6"/>
        <v>1035606.5703749122</v>
      </c>
      <c r="S147" s="3">
        <v>1.1100000000000001</v>
      </c>
      <c r="T147" s="17">
        <f t="shared" si="7"/>
        <v>1149523.2931161528</v>
      </c>
      <c r="U147">
        <v>7428</v>
      </c>
      <c r="V147">
        <v>2590</v>
      </c>
      <c r="W147" s="3">
        <f t="shared" si="8"/>
        <v>15508.982035928144</v>
      </c>
    </row>
    <row r="148" spans="1:23" x14ac:dyDescent="0.25">
      <c r="A148" s="26" t="s">
        <v>558</v>
      </c>
      <c r="B148" t="s">
        <v>101</v>
      </c>
      <c r="C148" t="s">
        <v>636</v>
      </c>
      <c r="D148" t="s">
        <v>357</v>
      </c>
      <c r="E148" t="s">
        <v>172</v>
      </c>
      <c r="F148" s="5">
        <v>4.4240000000000004</v>
      </c>
      <c r="G148">
        <v>5</v>
      </c>
      <c r="H148">
        <v>1002</v>
      </c>
      <c r="I148">
        <v>6</v>
      </c>
      <c r="J148">
        <v>3816</v>
      </c>
      <c r="K148">
        <v>1011</v>
      </c>
      <c r="L148">
        <v>3892</v>
      </c>
      <c r="M148">
        <v>1032</v>
      </c>
      <c r="N148">
        <v>3815</v>
      </c>
      <c r="O148">
        <v>1002</v>
      </c>
      <c r="P148">
        <v>3963</v>
      </c>
      <c r="Q148">
        <v>1007</v>
      </c>
      <c r="R148" s="17">
        <f t="shared" si="6"/>
        <v>1098584.5946087048</v>
      </c>
      <c r="S148" s="3">
        <v>1.1100000000000001</v>
      </c>
      <c r="T148" s="17">
        <f t="shared" si="7"/>
        <v>1219428.9000156624</v>
      </c>
      <c r="U148">
        <v>9267</v>
      </c>
      <c r="V148">
        <v>4013</v>
      </c>
      <c r="W148" s="3">
        <f t="shared" si="8"/>
        <v>24029.940119760478</v>
      </c>
    </row>
    <row r="149" spans="1:23" x14ac:dyDescent="0.25">
      <c r="A149" s="26" t="s">
        <v>559</v>
      </c>
      <c r="B149" t="s">
        <v>101</v>
      </c>
      <c r="C149" t="s">
        <v>636</v>
      </c>
      <c r="D149" t="s">
        <v>357</v>
      </c>
      <c r="E149" t="s">
        <v>172</v>
      </c>
      <c r="F149" s="5">
        <v>4.4240000000000004</v>
      </c>
      <c r="G149">
        <v>10</v>
      </c>
      <c r="H149">
        <v>1002</v>
      </c>
      <c r="I149">
        <v>6</v>
      </c>
      <c r="J149">
        <v>3843</v>
      </c>
      <c r="K149">
        <v>1008</v>
      </c>
      <c r="L149">
        <v>3910</v>
      </c>
      <c r="M149">
        <v>1021</v>
      </c>
      <c r="N149">
        <v>4018</v>
      </c>
      <c r="O149">
        <v>1007</v>
      </c>
      <c r="P149">
        <v>3886</v>
      </c>
      <c r="Q149">
        <v>1026</v>
      </c>
      <c r="R149" s="17">
        <f t="shared" si="6"/>
        <v>1108000.435268135</v>
      </c>
      <c r="S149" s="3">
        <v>1.1100000000000001</v>
      </c>
      <c r="T149" s="17">
        <f t="shared" si="7"/>
        <v>1229880.48314763</v>
      </c>
      <c r="U149">
        <v>8914</v>
      </c>
      <c r="V149">
        <v>3581</v>
      </c>
      <c r="W149" s="3">
        <f t="shared" si="8"/>
        <v>21443.11377245509</v>
      </c>
    </row>
    <row r="150" spans="1:23" x14ac:dyDescent="0.25">
      <c r="A150" s="26" t="s">
        <v>560</v>
      </c>
      <c r="B150" t="s">
        <v>101</v>
      </c>
      <c r="C150" t="s">
        <v>636</v>
      </c>
      <c r="D150" t="s">
        <v>357</v>
      </c>
      <c r="E150" t="s">
        <v>172</v>
      </c>
      <c r="F150" s="5">
        <v>4.4240000000000004</v>
      </c>
      <c r="G150">
        <v>15</v>
      </c>
      <c r="H150">
        <v>1002</v>
      </c>
      <c r="I150">
        <v>6</v>
      </c>
      <c r="J150">
        <v>3325</v>
      </c>
      <c r="K150">
        <v>1016</v>
      </c>
      <c r="L150">
        <v>3644</v>
      </c>
      <c r="M150">
        <v>1012</v>
      </c>
      <c r="N150">
        <v>3911</v>
      </c>
      <c r="O150">
        <v>1073</v>
      </c>
      <c r="P150">
        <v>3519</v>
      </c>
      <c r="Q150">
        <v>1015</v>
      </c>
      <c r="R150" s="17">
        <f t="shared" si="6"/>
        <v>1004934.9101211757</v>
      </c>
      <c r="S150" s="3">
        <v>1.1100000000000001</v>
      </c>
      <c r="T150" s="17">
        <f t="shared" si="7"/>
        <v>1115477.7502345052</v>
      </c>
      <c r="U150">
        <v>9015</v>
      </c>
      <c r="V150">
        <v>3763</v>
      </c>
      <c r="W150" s="3">
        <f t="shared" si="8"/>
        <v>22532.934131736529</v>
      </c>
    </row>
    <row r="151" spans="1:23" x14ac:dyDescent="0.25">
      <c r="A151" s="26" t="s">
        <v>561</v>
      </c>
      <c r="B151" t="s">
        <v>101</v>
      </c>
      <c r="C151" t="s">
        <v>636</v>
      </c>
      <c r="D151" t="s">
        <v>357</v>
      </c>
      <c r="E151" t="s">
        <v>172</v>
      </c>
      <c r="F151" s="5">
        <v>4.4240000000000004</v>
      </c>
      <c r="G151">
        <v>30</v>
      </c>
      <c r="H151">
        <v>1002</v>
      </c>
      <c r="I151">
        <v>6</v>
      </c>
      <c r="J151">
        <v>2688</v>
      </c>
      <c r="K151">
        <v>1015</v>
      </c>
      <c r="L151">
        <v>2595</v>
      </c>
      <c r="M151">
        <v>1033</v>
      </c>
      <c r="N151">
        <v>2771</v>
      </c>
      <c r="O151">
        <v>1011</v>
      </c>
      <c r="P151">
        <v>2584</v>
      </c>
      <c r="Q151">
        <v>1024</v>
      </c>
      <c r="R151" s="17">
        <f t="shared" si="6"/>
        <v>749077.70174620661</v>
      </c>
      <c r="S151" s="3">
        <v>1.1100000000000001</v>
      </c>
      <c r="T151" s="17">
        <f t="shared" si="7"/>
        <v>831476.24893828947</v>
      </c>
      <c r="U151">
        <v>7789</v>
      </c>
      <c r="V151">
        <v>3638</v>
      </c>
      <c r="W151" s="3">
        <f t="shared" si="8"/>
        <v>21784.43113772455</v>
      </c>
    </row>
    <row r="152" spans="1:23" x14ac:dyDescent="0.25">
      <c r="A152" s="26" t="s">
        <v>562</v>
      </c>
      <c r="B152" t="s">
        <v>101</v>
      </c>
      <c r="C152" t="s">
        <v>636</v>
      </c>
      <c r="D152" t="s">
        <v>357</v>
      </c>
      <c r="E152" t="s">
        <v>172</v>
      </c>
      <c r="F152" s="5">
        <v>4.4240000000000004</v>
      </c>
      <c r="G152">
        <v>45</v>
      </c>
      <c r="H152">
        <v>1000</v>
      </c>
      <c r="I152">
        <v>4</v>
      </c>
      <c r="J152">
        <v>4077</v>
      </c>
      <c r="K152">
        <v>1023</v>
      </c>
      <c r="L152">
        <v>3966</v>
      </c>
      <c r="M152">
        <v>1013</v>
      </c>
      <c r="N152">
        <v>4288</v>
      </c>
      <c r="O152">
        <v>1018</v>
      </c>
      <c r="P152">
        <v>3860</v>
      </c>
      <c r="Q152">
        <v>1011</v>
      </c>
      <c r="R152" s="17">
        <f t="shared" si="6"/>
        <v>764669.93379457376</v>
      </c>
      <c r="S152" s="3">
        <v>1.1100000000000001</v>
      </c>
      <c r="T152" s="17">
        <f t="shared" si="7"/>
        <v>848783.62651197694</v>
      </c>
      <c r="U152">
        <v>9605</v>
      </c>
      <c r="V152">
        <v>4011</v>
      </c>
      <c r="W152" s="3">
        <f t="shared" si="8"/>
        <v>16044</v>
      </c>
    </row>
    <row r="153" spans="1:23" x14ac:dyDescent="0.25">
      <c r="A153" s="26" t="s">
        <v>563</v>
      </c>
      <c r="B153" t="s">
        <v>101</v>
      </c>
      <c r="C153" t="s">
        <v>636</v>
      </c>
      <c r="D153" t="s">
        <v>357</v>
      </c>
      <c r="E153" t="s">
        <v>172</v>
      </c>
      <c r="F153" s="5">
        <v>4.4240000000000004</v>
      </c>
      <c r="G153">
        <v>60</v>
      </c>
      <c r="H153">
        <v>1000</v>
      </c>
      <c r="I153">
        <v>4</v>
      </c>
      <c r="J153">
        <v>3322</v>
      </c>
      <c r="K153">
        <v>1024</v>
      </c>
      <c r="L153">
        <v>3186</v>
      </c>
      <c r="M153">
        <v>1021</v>
      </c>
      <c r="N153">
        <v>3353</v>
      </c>
      <c r="O153">
        <v>1016</v>
      </c>
      <c r="P153">
        <v>4154</v>
      </c>
      <c r="Q153">
        <v>1219</v>
      </c>
      <c r="R153" s="17">
        <f t="shared" si="6"/>
        <v>627480.90438912541</v>
      </c>
      <c r="S153" s="3">
        <v>1.1100000000000001</v>
      </c>
      <c r="T153" s="17">
        <f t="shared" si="7"/>
        <v>696503.8038719293</v>
      </c>
      <c r="U153">
        <v>7713</v>
      </c>
      <c r="V153">
        <v>3106</v>
      </c>
      <c r="W153" s="3">
        <f t="shared" si="8"/>
        <v>12424</v>
      </c>
    </row>
    <row r="154" spans="1:23" x14ac:dyDescent="0.25">
      <c r="A154" s="26" t="s">
        <v>564</v>
      </c>
      <c r="B154" t="s">
        <v>101</v>
      </c>
      <c r="C154" t="s">
        <v>637</v>
      </c>
      <c r="D154" t="s">
        <v>357</v>
      </c>
      <c r="E154" t="s">
        <v>172</v>
      </c>
      <c r="F154" s="5">
        <v>6.11</v>
      </c>
      <c r="G154">
        <v>0</v>
      </c>
      <c r="H154">
        <v>1002</v>
      </c>
      <c r="I154">
        <v>6</v>
      </c>
      <c r="J154">
        <v>3786</v>
      </c>
      <c r="K154">
        <v>1014</v>
      </c>
      <c r="L154">
        <v>3787</v>
      </c>
      <c r="M154">
        <v>1011</v>
      </c>
      <c r="N154">
        <v>3798</v>
      </c>
      <c r="O154">
        <v>1028</v>
      </c>
      <c r="P154">
        <v>3733</v>
      </c>
      <c r="Q154">
        <v>1006</v>
      </c>
      <c r="R154" s="17">
        <f t="shared" si="6"/>
        <v>1069567.3413887485</v>
      </c>
      <c r="S154" s="3">
        <f>1309300/R154</f>
        <v>1.2241398454630987</v>
      </c>
      <c r="T154" s="17">
        <f t="shared" si="7"/>
        <v>1309300</v>
      </c>
      <c r="U154">
        <v>10742</v>
      </c>
      <c r="V154">
        <v>5417</v>
      </c>
      <c r="W154" s="3">
        <f t="shared" si="8"/>
        <v>32437.125748502993</v>
      </c>
    </row>
    <row r="155" spans="1:23" x14ac:dyDescent="0.25">
      <c r="A155" s="26" t="s">
        <v>565</v>
      </c>
      <c r="B155" t="s">
        <v>101</v>
      </c>
      <c r="C155" t="s">
        <v>637</v>
      </c>
      <c r="D155" t="s">
        <v>357</v>
      </c>
      <c r="E155" t="s">
        <v>172</v>
      </c>
      <c r="F155" s="5">
        <v>6.11</v>
      </c>
      <c r="G155">
        <v>2</v>
      </c>
      <c r="H155">
        <v>1002</v>
      </c>
      <c r="I155">
        <v>6</v>
      </c>
      <c r="J155">
        <v>3436</v>
      </c>
      <c r="K155">
        <v>1012</v>
      </c>
      <c r="L155">
        <v>3573</v>
      </c>
      <c r="M155">
        <v>1007</v>
      </c>
      <c r="N155">
        <v>3623</v>
      </c>
      <c r="O155">
        <v>1007</v>
      </c>
      <c r="P155">
        <v>3537</v>
      </c>
      <c r="Q155">
        <v>1007</v>
      </c>
      <c r="R155" s="17">
        <f t="shared" si="6"/>
        <v>1009842.9828623603</v>
      </c>
      <c r="S155" s="3">
        <v>1.22</v>
      </c>
      <c r="T155" s="17">
        <f t="shared" si="7"/>
        <v>1232008.4390920796</v>
      </c>
      <c r="U155">
        <v>9970</v>
      </c>
      <c r="V155">
        <v>4905</v>
      </c>
      <c r="W155" s="3">
        <f t="shared" si="8"/>
        <v>29371.257485029939</v>
      </c>
    </row>
    <row r="156" spans="1:23" x14ac:dyDescent="0.25">
      <c r="A156" s="26" t="s">
        <v>566</v>
      </c>
      <c r="B156" t="s">
        <v>101</v>
      </c>
      <c r="C156" t="s">
        <v>637</v>
      </c>
      <c r="D156" t="s">
        <v>357</v>
      </c>
      <c r="E156" t="s">
        <v>172</v>
      </c>
      <c r="F156" s="5">
        <v>6.11</v>
      </c>
      <c r="G156">
        <v>5</v>
      </c>
      <c r="H156">
        <v>1002</v>
      </c>
      <c r="I156">
        <v>6</v>
      </c>
      <c r="J156">
        <v>3567</v>
      </c>
      <c r="K156">
        <v>1013</v>
      </c>
      <c r="L156">
        <v>3600</v>
      </c>
      <c r="M156">
        <v>1014</v>
      </c>
      <c r="N156">
        <v>3572</v>
      </c>
      <c r="O156">
        <v>1022</v>
      </c>
      <c r="P156">
        <v>3792</v>
      </c>
      <c r="Q156">
        <v>1029</v>
      </c>
      <c r="R156" s="17">
        <f t="shared" si="6"/>
        <v>1024078.4746554294</v>
      </c>
      <c r="S156" s="3">
        <v>1.22</v>
      </c>
      <c r="T156" s="17">
        <f t="shared" si="7"/>
        <v>1249375.7390796237</v>
      </c>
      <c r="U156">
        <v>10952</v>
      </c>
      <c r="V156">
        <v>5903</v>
      </c>
      <c r="W156" s="3">
        <f t="shared" si="8"/>
        <v>35347.305389221561</v>
      </c>
    </row>
    <row r="157" spans="1:23" x14ac:dyDescent="0.25">
      <c r="A157" s="26" t="s">
        <v>567</v>
      </c>
      <c r="B157" t="s">
        <v>101</v>
      </c>
      <c r="C157" t="s">
        <v>637</v>
      </c>
      <c r="D157" t="s">
        <v>357</v>
      </c>
      <c r="E157" t="s">
        <v>172</v>
      </c>
      <c r="F157" s="5">
        <v>6.11</v>
      </c>
      <c r="G157">
        <v>10</v>
      </c>
      <c r="H157">
        <v>1002</v>
      </c>
      <c r="I157">
        <v>6</v>
      </c>
      <c r="J157">
        <v>3619</v>
      </c>
      <c r="K157">
        <v>1022</v>
      </c>
      <c r="L157">
        <v>3601</v>
      </c>
      <c r="M157">
        <v>1009</v>
      </c>
      <c r="N157">
        <v>3722</v>
      </c>
      <c r="O157">
        <v>1015</v>
      </c>
      <c r="P157">
        <v>3670</v>
      </c>
      <c r="Q157">
        <v>1002</v>
      </c>
      <c r="R157" s="17">
        <f t="shared" si="6"/>
        <v>1037579.331326056</v>
      </c>
      <c r="S157" s="3">
        <v>1.22</v>
      </c>
      <c r="T157" s="17">
        <f t="shared" si="7"/>
        <v>1265846.7842177884</v>
      </c>
      <c r="U157">
        <v>10904</v>
      </c>
      <c r="V157">
        <v>5918</v>
      </c>
      <c r="W157" s="3">
        <f t="shared" si="8"/>
        <v>35437.125748502993</v>
      </c>
    </row>
    <row r="158" spans="1:23" x14ac:dyDescent="0.25">
      <c r="A158" s="26" t="s">
        <v>568</v>
      </c>
      <c r="B158" t="s">
        <v>101</v>
      </c>
      <c r="C158" t="s">
        <v>637</v>
      </c>
      <c r="D158" t="s">
        <v>357</v>
      </c>
      <c r="E158" t="s">
        <v>172</v>
      </c>
      <c r="F158" s="5">
        <v>6.11</v>
      </c>
      <c r="G158">
        <v>15</v>
      </c>
      <c r="H158">
        <v>1002</v>
      </c>
      <c r="I158">
        <v>6</v>
      </c>
      <c r="J158">
        <v>3229</v>
      </c>
      <c r="K158">
        <v>1006</v>
      </c>
      <c r="L158">
        <v>3249</v>
      </c>
      <c r="M158">
        <v>1010</v>
      </c>
      <c r="N158">
        <v>3409</v>
      </c>
      <c r="O158">
        <v>1011</v>
      </c>
      <c r="P158">
        <v>3351</v>
      </c>
      <c r="Q158">
        <v>1014</v>
      </c>
      <c r="R158" s="17">
        <f>AVERAGE(J158/K158,L158/M158,N158/O158,P158/Q158)*(48000/H158)*I158*1000</f>
        <v>941548.45240698778</v>
      </c>
      <c r="S158" s="3">
        <v>1.22</v>
      </c>
      <c r="T158" s="17">
        <f t="shared" si="7"/>
        <v>1148689.111936525</v>
      </c>
      <c r="U158">
        <v>8935</v>
      </c>
      <c r="V158">
        <v>4132</v>
      </c>
      <c r="W158" s="3">
        <f t="shared" si="8"/>
        <v>24742.514970059878</v>
      </c>
    </row>
    <row r="159" spans="1:23" x14ac:dyDescent="0.25">
      <c r="A159" s="26" t="s">
        <v>569</v>
      </c>
      <c r="B159" t="s">
        <v>101</v>
      </c>
      <c r="C159" t="s">
        <v>637</v>
      </c>
      <c r="D159" t="s">
        <v>357</v>
      </c>
      <c r="E159" t="s">
        <v>172</v>
      </c>
      <c r="F159" s="5">
        <v>6.11</v>
      </c>
      <c r="G159">
        <v>30</v>
      </c>
      <c r="H159">
        <v>1002</v>
      </c>
      <c r="I159">
        <v>6</v>
      </c>
      <c r="J159">
        <v>2251</v>
      </c>
      <c r="K159">
        <v>1019</v>
      </c>
      <c r="L159">
        <v>2242</v>
      </c>
      <c r="M159">
        <v>1008</v>
      </c>
      <c r="N159">
        <v>2374</v>
      </c>
      <c r="O159">
        <v>1010</v>
      </c>
      <c r="P159">
        <v>2572</v>
      </c>
      <c r="Q159">
        <v>1018</v>
      </c>
      <c r="R159" s="17">
        <f t="shared" si="6"/>
        <v>669000.17614170059</v>
      </c>
      <c r="S159" s="3">
        <v>1.22</v>
      </c>
      <c r="T159" s="17">
        <f t="shared" si="7"/>
        <v>816180.2148928747</v>
      </c>
      <c r="U159">
        <v>6820</v>
      </c>
      <c r="V159">
        <v>3163</v>
      </c>
      <c r="W159" s="3">
        <f t="shared" si="8"/>
        <v>18940.119760479043</v>
      </c>
    </row>
    <row r="160" spans="1:23" x14ac:dyDescent="0.25">
      <c r="A160" s="26" t="s">
        <v>570</v>
      </c>
      <c r="B160" t="s">
        <v>101</v>
      </c>
      <c r="C160" t="s">
        <v>637</v>
      </c>
      <c r="D160" t="s">
        <v>357</v>
      </c>
      <c r="E160" t="s">
        <v>172</v>
      </c>
      <c r="F160" s="5">
        <v>6.11</v>
      </c>
      <c r="G160">
        <v>45</v>
      </c>
      <c r="H160">
        <v>1000</v>
      </c>
      <c r="I160">
        <v>2</v>
      </c>
      <c r="J160">
        <v>5893</v>
      </c>
      <c r="K160">
        <v>1111</v>
      </c>
      <c r="L160">
        <v>4736</v>
      </c>
      <c r="M160">
        <v>1011</v>
      </c>
      <c r="N160">
        <v>5930</v>
      </c>
      <c r="O160">
        <v>1195</v>
      </c>
      <c r="P160">
        <v>5423</v>
      </c>
      <c r="Q160">
        <v>1015</v>
      </c>
      <c r="R160" s="17">
        <f t="shared" si="6"/>
        <v>487053.63559447421</v>
      </c>
      <c r="S160" s="3">
        <v>1.22</v>
      </c>
      <c r="T160" s="17">
        <f t="shared" si="7"/>
        <v>594205.43542525847</v>
      </c>
      <c r="U160">
        <v>11365</v>
      </c>
      <c r="V160">
        <v>4767</v>
      </c>
      <c r="W160" s="3">
        <f t="shared" si="8"/>
        <v>9534</v>
      </c>
    </row>
    <row r="161" spans="1:23" x14ac:dyDescent="0.25">
      <c r="A161" s="26" t="s">
        <v>571</v>
      </c>
      <c r="B161" t="s">
        <v>101</v>
      </c>
      <c r="C161" t="s">
        <v>637</v>
      </c>
      <c r="D161" t="s">
        <v>357</v>
      </c>
      <c r="E161" t="s">
        <v>172</v>
      </c>
      <c r="F161" s="5">
        <v>6.11</v>
      </c>
      <c r="G161">
        <v>60</v>
      </c>
      <c r="H161">
        <v>1000</v>
      </c>
      <c r="I161">
        <v>2</v>
      </c>
      <c r="J161">
        <v>3995</v>
      </c>
      <c r="K161">
        <v>1016</v>
      </c>
      <c r="L161">
        <v>3886</v>
      </c>
      <c r="M161">
        <v>1056</v>
      </c>
      <c r="N161">
        <v>3989</v>
      </c>
      <c r="O161">
        <v>1073</v>
      </c>
      <c r="P161">
        <v>4206</v>
      </c>
      <c r="Q161">
        <v>1018</v>
      </c>
      <c r="R161" s="17">
        <f t="shared" si="6"/>
        <v>371070.13609962136</v>
      </c>
      <c r="S161" s="3">
        <v>1.22</v>
      </c>
      <c r="T161" s="17">
        <f t="shared" si="7"/>
        <v>452705.56604153803</v>
      </c>
      <c r="U161">
        <v>8883</v>
      </c>
      <c r="V161">
        <v>3512</v>
      </c>
      <c r="W161" s="3">
        <f t="shared" si="8"/>
        <v>7024</v>
      </c>
    </row>
    <row r="162" spans="1:23" x14ac:dyDescent="0.25">
      <c r="A162" s="26" t="s">
        <v>572</v>
      </c>
      <c r="B162" t="s">
        <v>101</v>
      </c>
      <c r="C162" t="s">
        <v>638</v>
      </c>
      <c r="D162" t="s">
        <v>357</v>
      </c>
      <c r="E162" t="s">
        <v>172</v>
      </c>
      <c r="F162" s="5">
        <v>7.8460000000000001</v>
      </c>
      <c r="G162">
        <v>0</v>
      </c>
      <c r="H162">
        <v>1002</v>
      </c>
      <c r="I162">
        <v>6</v>
      </c>
      <c r="J162">
        <v>4332</v>
      </c>
      <c r="K162">
        <v>1016</v>
      </c>
      <c r="L162">
        <v>4511</v>
      </c>
      <c r="M162">
        <v>1044</v>
      </c>
      <c r="N162">
        <v>4362</v>
      </c>
      <c r="O162">
        <v>1015</v>
      </c>
      <c r="P162">
        <v>4651</v>
      </c>
      <c r="Q162">
        <v>1014</v>
      </c>
      <c r="R162" s="17">
        <f t="shared" si="6"/>
        <v>1255256.2425835286</v>
      </c>
      <c r="S162" s="3">
        <f>1309300/R162</f>
        <v>1.0430539642688732</v>
      </c>
      <c r="T162" s="17">
        <f t="shared" si="7"/>
        <v>1309300</v>
      </c>
      <c r="U162">
        <v>9588</v>
      </c>
      <c r="V162">
        <v>3874</v>
      </c>
      <c r="W162" s="3">
        <f t="shared" si="8"/>
        <v>23197.604790419162</v>
      </c>
    </row>
    <row r="163" spans="1:23" x14ac:dyDescent="0.25">
      <c r="A163" s="26" t="s">
        <v>573</v>
      </c>
      <c r="B163" t="s">
        <v>101</v>
      </c>
      <c r="C163" t="s">
        <v>638</v>
      </c>
      <c r="D163" t="s">
        <v>357</v>
      </c>
      <c r="E163" t="s">
        <v>172</v>
      </c>
      <c r="F163" s="5">
        <v>7.8460000000000001</v>
      </c>
      <c r="G163">
        <v>2</v>
      </c>
      <c r="H163">
        <v>1002</v>
      </c>
      <c r="I163">
        <v>6</v>
      </c>
      <c r="J163">
        <v>4037</v>
      </c>
      <c r="K163">
        <v>1015</v>
      </c>
      <c r="L163">
        <v>3956</v>
      </c>
      <c r="M163">
        <v>1022</v>
      </c>
      <c r="N163">
        <v>4049</v>
      </c>
      <c r="O163">
        <v>1009</v>
      </c>
      <c r="P163">
        <v>3986</v>
      </c>
      <c r="Q163">
        <v>1027</v>
      </c>
      <c r="R163" s="17">
        <f t="shared" si="6"/>
        <v>1131181.2813815535</v>
      </c>
      <c r="S163" s="3">
        <v>1.04</v>
      </c>
      <c r="T163" s="17">
        <f t="shared" si="7"/>
        <v>1176428.5326368157</v>
      </c>
      <c r="U163">
        <v>9791</v>
      </c>
      <c r="V163">
        <v>4309</v>
      </c>
      <c r="W163" s="3">
        <f t="shared" si="8"/>
        <v>25802.395209580838</v>
      </c>
    </row>
    <row r="164" spans="1:23" x14ac:dyDescent="0.25">
      <c r="A164" s="26" t="s">
        <v>574</v>
      </c>
      <c r="B164" t="s">
        <v>101</v>
      </c>
      <c r="C164" t="s">
        <v>638</v>
      </c>
      <c r="D164" t="s">
        <v>357</v>
      </c>
      <c r="E164" t="s">
        <v>172</v>
      </c>
      <c r="F164" s="5">
        <v>7.8460000000000001</v>
      </c>
      <c r="G164">
        <v>5</v>
      </c>
      <c r="H164">
        <v>1002</v>
      </c>
      <c r="I164">
        <v>6</v>
      </c>
      <c r="J164">
        <v>3773</v>
      </c>
      <c r="K164">
        <v>1043</v>
      </c>
      <c r="L164">
        <v>3530</v>
      </c>
      <c r="M164">
        <v>1014</v>
      </c>
      <c r="N164">
        <v>3538</v>
      </c>
      <c r="O164">
        <v>1020</v>
      </c>
      <c r="P164">
        <v>3925</v>
      </c>
      <c r="Q164">
        <v>1113</v>
      </c>
      <c r="R164" s="17">
        <f t="shared" si="6"/>
        <v>1012731.3330126021</v>
      </c>
      <c r="S164" s="3">
        <v>1.04</v>
      </c>
      <c r="T164" s="17">
        <f t="shared" si="7"/>
        <v>1053240.5863331063</v>
      </c>
      <c r="U164">
        <v>9276</v>
      </c>
      <c r="V164">
        <v>4346</v>
      </c>
      <c r="W164" s="3">
        <f t="shared" si="8"/>
        <v>26023.952095808381</v>
      </c>
    </row>
    <row r="165" spans="1:23" x14ac:dyDescent="0.25">
      <c r="A165" s="26" t="s">
        <v>575</v>
      </c>
      <c r="B165" t="s">
        <v>101</v>
      </c>
      <c r="C165" t="s">
        <v>638</v>
      </c>
      <c r="D165" t="s">
        <v>357</v>
      </c>
      <c r="E165" t="s">
        <v>172</v>
      </c>
      <c r="F165" s="5">
        <v>7.8460000000000001</v>
      </c>
      <c r="G165">
        <v>10</v>
      </c>
      <c r="H165">
        <v>1002</v>
      </c>
      <c r="I165">
        <v>6</v>
      </c>
      <c r="J165">
        <v>3412</v>
      </c>
      <c r="K165">
        <v>1016</v>
      </c>
      <c r="L165">
        <v>3382</v>
      </c>
      <c r="M165">
        <v>1022</v>
      </c>
      <c r="N165">
        <v>3147</v>
      </c>
      <c r="O165">
        <v>1022</v>
      </c>
      <c r="P165">
        <v>3259</v>
      </c>
      <c r="Q165">
        <v>1021</v>
      </c>
      <c r="R165" s="17">
        <f t="shared" si="6"/>
        <v>929726.25531415851</v>
      </c>
      <c r="S165" s="3">
        <v>1.04</v>
      </c>
      <c r="T165" s="17">
        <f t="shared" si="7"/>
        <v>966915.3055267249</v>
      </c>
      <c r="U165">
        <v>7823</v>
      </c>
      <c r="V165">
        <v>3381</v>
      </c>
      <c r="W165" s="3">
        <f t="shared" si="8"/>
        <v>20245.508982035928</v>
      </c>
    </row>
    <row r="166" spans="1:23" x14ac:dyDescent="0.25">
      <c r="A166" s="26" t="s">
        <v>576</v>
      </c>
      <c r="B166" t="s">
        <v>101</v>
      </c>
      <c r="C166" t="s">
        <v>638</v>
      </c>
      <c r="D166" t="s">
        <v>357</v>
      </c>
      <c r="E166" t="s">
        <v>172</v>
      </c>
      <c r="F166" s="5">
        <v>7.8460000000000001</v>
      </c>
      <c r="G166">
        <v>15</v>
      </c>
      <c r="H166">
        <v>1002</v>
      </c>
      <c r="I166">
        <v>6</v>
      </c>
      <c r="J166">
        <v>3533</v>
      </c>
      <c r="K166">
        <v>1020</v>
      </c>
      <c r="L166">
        <v>3733</v>
      </c>
      <c r="M166">
        <v>1017</v>
      </c>
      <c r="N166">
        <v>3608</v>
      </c>
      <c r="O166">
        <v>1027</v>
      </c>
      <c r="P166">
        <v>3416</v>
      </c>
      <c r="Q166">
        <v>1027</v>
      </c>
      <c r="R166" s="17">
        <f t="shared" si="6"/>
        <v>1004095.5571869562</v>
      </c>
      <c r="S166" s="3">
        <v>1.04</v>
      </c>
      <c r="T166" s="17">
        <f t="shared" si="7"/>
        <v>1044259.3794744344</v>
      </c>
      <c r="U166">
        <v>10547</v>
      </c>
      <c r="V166">
        <v>5446</v>
      </c>
      <c r="W166" s="3">
        <f t="shared" si="8"/>
        <v>32610.778443113773</v>
      </c>
    </row>
    <row r="167" spans="1:23" x14ac:dyDescent="0.25">
      <c r="A167" s="26" t="s">
        <v>577</v>
      </c>
      <c r="B167" t="s">
        <v>101</v>
      </c>
      <c r="C167" t="s">
        <v>638</v>
      </c>
      <c r="D167" t="s">
        <v>357</v>
      </c>
      <c r="E167" t="s">
        <v>172</v>
      </c>
      <c r="F167" s="5">
        <v>7.8460000000000001</v>
      </c>
      <c r="G167">
        <v>30</v>
      </c>
      <c r="H167">
        <v>1002</v>
      </c>
      <c r="I167">
        <v>6</v>
      </c>
      <c r="J167">
        <v>2893</v>
      </c>
      <c r="K167">
        <v>1035</v>
      </c>
      <c r="L167">
        <v>3491</v>
      </c>
      <c r="M167">
        <v>1210</v>
      </c>
      <c r="N167">
        <v>3032</v>
      </c>
      <c r="O167">
        <v>1023</v>
      </c>
      <c r="P167">
        <v>3374</v>
      </c>
      <c r="Q167">
        <v>1130</v>
      </c>
      <c r="R167" s="17">
        <f t="shared" si="6"/>
        <v>835686.15262922354</v>
      </c>
      <c r="S167" s="3">
        <v>1.04</v>
      </c>
      <c r="T167" s="17">
        <f t="shared" si="7"/>
        <v>869113.59873439255</v>
      </c>
      <c r="U167">
        <v>9373</v>
      </c>
      <c r="V167">
        <v>4912</v>
      </c>
      <c r="W167" s="3">
        <f t="shared" si="8"/>
        <v>29413.173652694612</v>
      </c>
    </row>
    <row r="168" spans="1:23" x14ac:dyDescent="0.25">
      <c r="A168" s="26" t="s">
        <v>578</v>
      </c>
      <c r="B168" t="s">
        <v>101</v>
      </c>
      <c r="C168" t="s">
        <v>638</v>
      </c>
      <c r="D168" t="s">
        <v>357</v>
      </c>
      <c r="E168" t="s">
        <v>172</v>
      </c>
      <c r="F168" s="5">
        <v>7.8460000000000001</v>
      </c>
      <c r="G168">
        <v>45</v>
      </c>
      <c r="H168">
        <v>1000</v>
      </c>
      <c r="I168">
        <v>2</v>
      </c>
      <c r="J168">
        <v>7790</v>
      </c>
      <c r="K168">
        <v>1022</v>
      </c>
      <c r="L168">
        <v>7656</v>
      </c>
      <c r="M168">
        <v>1019</v>
      </c>
      <c r="N168">
        <v>9409</v>
      </c>
      <c r="O168">
        <v>1205</v>
      </c>
      <c r="P168">
        <v>7598</v>
      </c>
      <c r="Q168">
        <v>1047</v>
      </c>
      <c r="R168" s="17">
        <f t="shared" si="6"/>
        <v>724818.73876298987</v>
      </c>
      <c r="S168" s="3">
        <v>1.04</v>
      </c>
      <c r="T168" s="17">
        <f t="shared" si="7"/>
        <v>753811.4883135095</v>
      </c>
      <c r="U168">
        <v>22706</v>
      </c>
      <c r="V168">
        <v>11393</v>
      </c>
      <c r="W168" s="3">
        <f t="shared" si="8"/>
        <v>22786</v>
      </c>
    </row>
    <row r="169" spans="1:23" x14ac:dyDescent="0.25">
      <c r="A169" s="26" t="s">
        <v>579</v>
      </c>
      <c r="B169" t="s">
        <v>101</v>
      </c>
      <c r="C169" t="s">
        <v>638</v>
      </c>
      <c r="D169" t="s">
        <v>357</v>
      </c>
      <c r="E169" t="s">
        <v>172</v>
      </c>
      <c r="F169" s="5">
        <v>7.8460000000000001</v>
      </c>
      <c r="G169">
        <v>60</v>
      </c>
      <c r="H169">
        <v>1000</v>
      </c>
      <c r="I169">
        <v>2</v>
      </c>
      <c r="J169">
        <v>5911</v>
      </c>
      <c r="K169">
        <v>1017</v>
      </c>
      <c r="L169">
        <v>6056</v>
      </c>
      <c r="M169">
        <v>1018</v>
      </c>
      <c r="N169">
        <v>6828</v>
      </c>
      <c r="O169">
        <v>1106</v>
      </c>
      <c r="P169">
        <v>6242</v>
      </c>
      <c r="Q169">
        <v>1016</v>
      </c>
      <c r="R169" s="17">
        <f t="shared" si="6"/>
        <v>577881.87634430116</v>
      </c>
      <c r="S169" s="3">
        <v>1.04</v>
      </c>
      <c r="T169" s="17">
        <f t="shared" si="7"/>
        <v>600997.15139807318</v>
      </c>
      <c r="U169">
        <v>16143</v>
      </c>
      <c r="V169">
        <v>7560</v>
      </c>
      <c r="W169" s="3">
        <f t="shared" si="8"/>
        <v>15120</v>
      </c>
    </row>
    <row r="170" spans="1:23" x14ac:dyDescent="0.25">
      <c r="A170" s="26" t="s">
        <v>581</v>
      </c>
      <c r="B170" t="s">
        <v>75</v>
      </c>
      <c r="C170" t="s">
        <v>639</v>
      </c>
      <c r="D170" t="s">
        <v>358</v>
      </c>
      <c r="E170" t="s">
        <v>172</v>
      </c>
      <c r="F170" s="5">
        <v>4.04</v>
      </c>
      <c r="G170">
        <v>0</v>
      </c>
      <c r="H170">
        <v>1002</v>
      </c>
      <c r="I170">
        <v>6</v>
      </c>
      <c r="J170">
        <v>4115</v>
      </c>
      <c r="K170">
        <v>1009</v>
      </c>
      <c r="L170">
        <v>4323</v>
      </c>
      <c r="M170">
        <v>1007</v>
      </c>
      <c r="N170">
        <v>3972</v>
      </c>
      <c r="O170">
        <v>1027</v>
      </c>
      <c r="P170">
        <v>4030</v>
      </c>
      <c r="Q170">
        <v>1020</v>
      </c>
      <c r="R170" s="17">
        <f t="shared" si="6"/>
        <v>1163338.9617564147</v>
      </c>
      <c r="S170" s="3">
        <f>1309300/R170</f>
        <v>1.1254673341492945</v>
      </c>
      <c r="T170" s="17">
        <f t="shared" si="7"/>
        <v>1309300</v>
      </c>
      <c r="U170">
        <v>68969</v>
      </c>
      <c r="V170">
        <v>49671</v>
      </c>
      <c r="W170" s="3">
        <f t="shared" si="8"/>
        <v>297431.13772455091</v>
      </c>
    </row>
    <row r="171" spans="1:23" x14ac:dyDescent="0.25">
      <c r="A171" s="26" t="s">
        <v>582</v>
      </c>
      <c r="B171" t="s">
        <v>75</v>
      </c>
      <c r="C171" t="s">
        <v>639</v>
      </c>
      <c r="D171" t="s">
        <v>358</v>
      </c>
      <c r="E171" t="s">
        <v>172</v>
      </c>
      <c r="F171" s="5">
        <v>4.04</v>
      </c>
      <c r="G171">
        <v>2</v>
      </c>
      <c r="H171">
        <v>1002</v>
      </c>
      <c r="I171">
        <v>6</v>
      </c>
      <c r="J171">
        <v>3807</v>
      </c>
      <c r="K171">
        <v>1009</v>
      </c>
      <c r="L171">
        <v>3799</v>
      </c>
      <c r="M171">
        <v>1007</v>
      </c>
      <c r="N171">
        <v>4067</v>
      </c>
      <c r="O171">
        <v>1054</v>
      </c>
      <c r="P171">
        <v>3765</v>
      </c>
      <c r="Q171">
        <v>1009</v>
      </c>
      <c r="R171" s="17">
        <f t="shared" si="6"/>
        <v>1087594.1672580242</v>
      </c>
      <c r="S171" s="3">
        <v>1.1299999999999999</v>
      </c>
      <c r="T171" s="17">
        <f t="shared" si="7"/>
        <v>1228981.4090015672</v>
      </c>
      <c r="U171">
        <v>66214</v>
      </c>
      <c r="V171">
        <v>43464</v>
      </c>
      <c r="W171" s="3">
        <f t="shared" si="8"/>
        <v>260263.4730538922</v>
      </c>
    </row>
    <row r="172" spans="1:23" x14ac:dyDescent="0.25">
      <c r="A172" s="26" t="s">
        <v>583</v>
      </c>
      <c r="B172" t="s">
        <v>75</v>
      </c>
      <c r="C172" t="s">
        <v>639</v>
      </c>
      <c r="D172" t="s">
        <v>358</v>
      </c>
      <c r="E172" t="s">
        <v>172</v>
      </c>
      <c r="F172" s="5">
        <v>4.04</v>
      </c>
      <c r="G172">
        <v>5</v>
      </c>
      <c r="H172">
        <v>1002</v>
      </c>
      <c r="I172">
        <v>6</v>
      </c>
      <c r="J172">
        <v>3289</v>
      </c>
      <c r="K172">
        <v>1009</v>
      </c>
      <c r="L172">
        <v>3444</v>
      </c>
      <c r="M172">
        <v>1004</v>
      </c>
      <c r="N172">
        <v>3524</v>
      </c>
      <c r="O172">
        <v>1003</v>
      </c>
      <c r="P172">
        <v>3466</v>
      </c>
      <c r="Q172">
        <v>1003</v>
      </c>
      <c r="R172" s="17">
        <f t="shared" si="6"/>
        <v>981487.51897022501</v>
      </c>
      <c r="S172" s="3">
        <v>1.1299999999999999</v>
      </c>
      <c r="T172" s="17">
        <f t="shared" si="7"/>
        <v>1109080.8964363541</v>
      </c>
      <c r="U172">
        <v>74621</v>
      </c>
      <c r="V172">
        <v>52287</v>
      </c>
      <c r="W172" s="3">
        <f t="shared" si="8"/>
        <v>313095.80838323355</v>
      </c>
    </row>
    <row r="173" spans="1:23" x14ac:dyDescent="0.25">
      <c r="A173" s="26" t="s">
        <v>584</v>
      </c>
      <c r="B173" t="s">
        <v>75</v>
      </c>
      <c r="C173" t="s">
        <v>639</v>
      </c>
      <c r="D173" t="s">
        <v>358</v>
      </c>
      <c r="E173" t="s">
        <v>172</v>
      </c>
      <c r="F173" s="5">
        <v>4.04</v>
      </c>
      <c r="G173">
        <v>10</v>
      </c>
      <c r="H173">
        <v>1002</v>
      </c>
      <c r="I173">
        <v>6</v>
      </c>
      <c r="J173">
        <v>3414</v>
      </c>
      <c r="K173">
        <v>1001</v>
      </c>
      <c r="L173">
        <v>3379</v>
      </c>
      <c r="M173">
        <v>1003</v>
      </c>
      <c r="N173">
        <v>3411</v>
      </c>
      <c r="O173">
        <v>1002</v>
      </c>
      <c r="P173">
        <v>3286</v>
      </c>
      <c r="Q173">
        <v>1008</v>
      </c>
      <c r="R173" s="17">
        <f t="shared" si="6"/>
        <v>966006.82507662708</v>
      </c>
      <c r="S173" s="3">
        <v>1.1299999999999999</v>
      </c>
      <c r="T173" s="17">
        <f t="shared" si="7"/>
        <v>1091587.7123365884</v>
      </c>
      <c r="U173">
        <v>69788</v>
      </c>
      <c r="V173">
        <v>49921</v>
      </c>
      <c r="W173" s="3">
        <f t="shared" si="8"/>
        <v>298928.14371257485</v>
      </c>
    </row>
    <row r="174" spans="1:23" x14ac:dyDescent="0.25">
      <c r="A174" s="26" t="s">
        <v>585</v>
      </c>
      <c r="B174" t="s">
        <v>75</v>
      </c>
      <c r="C174" t="s">
        <v>639</v>
      </c>
      <c r="D174" t="s">
        <v>358</v>
      </c>
      <c r="E174" t="s">
        <v>172</v>
      </c>
      <c r="F174" s="5">
        <v>4.04</v>
      </c>
      <c r="G174">
        <v>15</v>
      </c>
      <c r="H174">
        <v>1002</v>
      </c>
      <c r="I174">
        <v>6</v>
      </c>
      <c r="J174">
        <v>3041</v>
      </c>
      <c r="K174">
        <v>1009</v>
      </c>
      <c r="L174">
        <v>3161</v>
      </c>
      <c r="M174">
        <v>1001</v>
      </c>
      <c r="N174">
        <v>3045</v>
      </c>
      <c r="O174">
        <v>1009</v>
      </c>
      <c r="P174">
        <v>2894</v>
      </c>
      <c r="Q174">
        <v>1013</v>
      </c>
      <c r="R174" s="17">
        <f t="shared" si="6"/>
        <v>865610.84092448186</v>
      </c>
      <c r="S174" s="3">
        <v>1.1299999999999999</v>
      </c>
      <c r="T174" s="17">
        <f t="shared" si="7"/>
        <v>978140.25024466438</v>
      </c>
      <c r="U174">
        <v>58267</v>
      </c>
      <c r="V174">
        <v>39158</v>
      </c>
      <c r="W174" s="3">
        <f t="shared" si="8"/>
        <v>234479.04191616765</v>
      </c>
    </row>
    <row r="175" spans="1:23" x14ac:dyDescent="0.25">
      <c r="A175" s="26" t="s">
        <v>586</v>
      </c>
      <c r="B175" t="s">
        <v>75</v>
      </c>
      <c r="C175" t="s">
        <v>639</v>
      </c>
      <c r="D175" t="s">
        <v>358</v>
      </c>
      <c r="E175" t="s">
        <v>172</v>
      </c>
      <c r="F175" s="5">
        <v>4.04</v>
      </c>
      <c r="G175">
        <v>30</v>
      </c>
      <c r="H175">
        <v>1002</v>
      </c>
      <c r="I175">
        <v>6</v>
      </c>
      <c r="J175">
        <v>2747</v>
      </c>
      <c r="K175">
        <v>1007</v>
      </c>
      <c r="L175">
        <v>3078</v>
      </c>
      <c r="M175">
        <v>1005</v>
      </c>
      <c r="N175">
        <v>2912</v>
      </c>
      <c r="O175">
        <v>1021</v>
      </c>
      <c r="P175">
        <v>2862</v>
      </c>
      <c r="Q175">
        <v>1008</v>
      </c>
      <c r="R175" s="17">
        <f t="shared" si="6"/>
        <v>825052.65107259725</v>
      </c>
      <c r="S175" s="3">
        <v>1.1299999999999999</v>
      </c>
      <c r="T175" s="17">
        <f t="shared" si="7"/>
        <v>932309.49571203475</v>
      </c>
      <c r="U175">
        <v>67171</v>
      </c>
      <c r="V175">
        <v>47791</v>
      </c>
      <c r="W175" s="3">
        <f t="shared" si="8"/>
        <v>286173.65269461076</v>
      </c>
    </row>
    <row r="176" spans="1:23" x14ac:dyDescent="0.25">
      <c r="A176" s="26" t="s">
        <v>587</v>
      </c>
      <c r="B176" t="s">
        <v>75</v>
      </c>
      <c r="C176" t="s">
        <v>640</v>
      </c>
      <c r="D176" t="s">
        <v>358</v>
      </c>
      <c r="E176" t="s">
        <v>172</v>
      </c>
      <c r="F176" s="5">
        <v>6.2949999999999999</v>
      </c>
      <c r="G176">
        <v>0</v>
      </c>
      <c r="H176">
        <v>1002</v>
      </c>
      <c r="I176">
        <v>6</v>
      </c>
      <c r="J176">
        <v>3801</v>
      </c>
      <c r="K176">
        <v>1012</v>
      </c>
      <c r="L176">
        <v>3682</v>
      </c>
      <c r="M176">
        <v>1012</v>
      </c>
      <c r="N176">
        <v>3882</v>
      </c>
      <c r="O176">
        <v>1007</v>
      </c>
      <c r="P176">
        <v>3691</v>
      </c>
      <c r="Q176">
        <v>1004</v>
      </c>
      <c r="R176" s="17">
        <f t="shared" si="6"/>
        <v>1072496.6580467485</v>
      </c>
      <c r="S176" s="3">
        <f>1309300/R176</f>
        <v>1.2207963448431833</v>
      </c>
      <c r="T176" s="17">
        <f t="shared" si="7"/>
        <v>1309300</v>
      </c>
      <c r="U176">
        <v>61208</v>
      </c>
      <c r="V176">
        <v>41570</v>
      </c>
      <c r="W176" s="3">
        <f t="shared" si="8"/>
        <v>248922.15568862276</v>
      </c>
    </row>
    <row r="177" spans="1:23" x14ac:dyDescent="0.25">
      <c r="A177" s="26" t="s">
        <v>588</v>
      </c>
      <c r="B177" t="s">
        <v>75</v>
      </c>
      <c r="C177" t="s">
        <v>640</v>
      </c>
      <c r="D177" t="s">
        <v>358</v>
      </c>
      <c r="E177" t="s">
        <v>172</v>
      </c>
      <c r="F177" s="5">
        <v>6.2949999999999999</v>
      </c>
      <c r="G177">
        <v>2</v>
      </c>
      <c r="H177">
        <v>1002</v>
      </c>
      <c r="I177">
        <v>6</v>
      </c>
      <c r="J177">
        <v>3549</v>
      </c>
      <c r="K177">
        <v>1017</v>
      </c>
      <c r="L177">
        <v>3510</v>
      </c>
      <c r="M177">
        <v>1008</v>
      </c>
      <c r="N177">
        <v>3573</v>
      </c>
      <c r="O177">
        <v>1022</v>
      </c>
      <c r="P177">
        <v>3539</v>
      </c>
      <c r="Q177">
        <v>1003</v>
      </c>
      <c r="R177" s="17">
        <f t="shared" si="6"/>
        <v>1005723.5378281433</v>
      </c>
      <c r="S177" s="3">
        <v>1.22</v>
      </c>
      <c r="T177" s="17">
        <f t="shared" si="7"/>
        <v>1226982.7161503348</v>
      </c>
      <c r="U177">
        <v>69855</v>
      </c>
      <c r="V177">
        <v>48682</v>
      </c>
      <c r="W177" s="3">
        <f t="shared" si="8"/>
        <v>291508.98203592817</v>
      </c>
    </row>
    <row r="178" spans="1:23" x14ac:dyDescent="0.25">
      <c r="A178" s="26" t="s">
        <v>589</v>
      </c>
      <c r="B178" t="s">
        <v>75</v>
      </c>
      <c r="C178" t="s">
        <v>640</v>
      </c>
      <c r="D178" t="s">
        <v>358</v>
      </c>
      <c r="E178" t="s">
        <v>172</v>
      </c>
      <c r="F178" s="5">
        <v>6.2949999999999999</v>
      </c>
      <c r="G178">
        <v>5</v>
      </c>
      <c r="H178">
        <v>1002</v>
      </c>
      <c r="I178">
        <v>6</v>
      </c>
      <c r="J178">
        <v>3173</v>
      </c>
      <c r="K178">
        <v>1009</v>
      </c>
      <c r="L178">
        <v>3379</v>
      </c>
      <c r="M178">
        <v>1020</v>
      </c>
      <c r="N178">
        <v>3093</v>
      </c>
      <c r="O178">
        <v>1002</v>
      </c>
      <c r="P178">
        <v>3402</v>
      </c>
      <c r="Q178">
        <v>1006</v>
      </c>
      <c r="R178" s="17">
        <f t="shared" si="6"/>
        <v>928812.85562232288</v>
      </c>
      <c r="S178" s="3">
        <v>1.22</v>
      </c>
      <c r="T178" s="17">
        <f t="shared" si="7"/>
        <v>1133151.683859234</v>
      </c>
      <c r="U178">
        <v>72772</v>
      </c>
      <c r="V178">
        <v>50790</v>
      </c>
      <c r="W178" s="3">
        <f t="shared" si="8"/>
        <v>304131.73652694607</v>
      </c>
    </row>
    <row r="179" spans="1:23" x14ac:dyDescent="0.25">
      <c r="A179" s="26" t="s">
        <v>590</v>
      </c>
      <c r="B179" t="s">
        <v>75</v>
      </c>
      <c r="C179" t="s">
        <v>640</v>
      </c>
      <c r="D179" t="s">
        <v>358</v>
      </c>
      <c r="E179" t="s">
        <v>172</v>
      </c>
      <c r="F179" s="5">
        <v>6.2949999999999999</v>
      </c>
      <c r="G179">
        <v>10</v>
      </c>
      <c r="H179">
        <v>1002</v>
      </c>
      <c r="I179">
        <v>6</v>
      </c>
      <c r="J179">
        <v>2753</v>
      </c>
      <c r="K179">
        <v>1006</v>
      </c>
      <c r="L179">
        <v>2842</v>
      </c>
      <c r="M179">
        <v>1008</v>
      </c>
      <c r="N179">
        <v>3142</v>
      </c>
      <c r="O179">
        <v>1022</v>
      </c>
      <c r="P179">
        <v>2898</v>
      </c>
      <c r="Q179">
        <v>1009</v>
      </c>
      <c r="R179" s="17">
        <f t="shared" si="6"/>
        <v>826529.79145275068</v>
      </c>
      <c r="S179" s="3">
        <v>1.22</v>
      </c>
      <c r="T179" s="17">
        <f t="shared" si="7"/>
        <v>1008366.3455723558</v>
      </c>
      <c r="U179">
        <v>78787</v>
      </c>
      <c r="V179">
        <v>54614</v>
      </c>
      <c r="W179" s="3">
        <f t="shared" si="8"/>
        <v>327029.94011976046</v>
      </c>
    </row>
    <row r="180" spans="1:23" x14ac:dyDescent="0.25">
      <c r="A180" s="26" t="s">
        <v>591</v>
      </c>
      <c r="B180" t="s">
        <v>75</v>
      </c>
      <c r="C180" t="s">
        <v>640</v>
      </c>
      <c r="D180" t="s">
        <v>358</v>
      </c>
      <c r="E180" t="s">
        <v>172</v>
      </c>
      <c r="F180" s="5">
        <v>6.2949999999999999</v>
      </c>
      <c r="G180">
        <v>15</v>
      </c>
      <c r="H180">
        <v>1002</v>
      </c>
      <c r="I180">
        <v>6</v>
      </c>
      <c r="J180">
        <v>2592</v>
      </c>
      <c r="K180">
        <v>1008</v>
      </c>
      <c r="L180">
        <v>2561</v>
      </c>
      <c r="M180">
        <v>1011</v>
      </c>
      <c r="N180">
        <v>2398</v>
      </c>
      <c r="O180">
        <v>1000</v>
      </c>
      <c r="P180">
        <v>2518</v>
      </c>
      <c r="Q180">
        <v>1004</v>
      </c>
      <c r="R180" s="17">
        <f t="shared" si="6"/>
        <v>719319.67963941908</v>
      </c>
      <c r="S180" s="3">
        <v>1.22</v>
      </c>
      <c r="T180" s="17">
        <f t="shared" si="7"/>
        <v>877570.00916009129</v>
      </c>
      <c r="U180">
        <v>70715</v>
      </c>
      <c r="V180">
        <v>50397</v>
      </c>
      <c r="W180" s="3">
        <f t="shared" si="8"/>
        <v>301778.44311377249</v>
      </c>
    </row>
    <row r="181" spans="1:23" x14ac:dyDescent="0.25">
      <c r="A181" s="26" t="s">
        <v>592</v>
      </c>
      <c r="B181" t="s">
        <v>75</v>
      </c>
      <c r="C181" t="s">
        <v>640</v>
      </c>
      <c r="D181" t="s">
        <v>358</v>
      </c>
      <c r="E181" t="s">
        <v>172</v>
      </c>
      <c r="F181" s="5">
        <v>6.2949999999999999</v>
      </c>
      <c r="G181">
        <v>30</v>
      </c>
      <c r="H181">
        <v>1002</v>
      </c>
      <c r="I181">
        <v>6</v>
      </c>
      <c r="J181">
        <v>2016</v>
      </c>
      <c r="K181">
        <v>1034</v>
      </c>
      <c r="L181">
        <v>1896</v>
      </c>
      <c r="M181">
        <v>1022</v>
      </c>
      <c r="N181">
        <v>1923</v>
      </c>
      <c r="O181">
        <v>1010</v>
      </c>
      <c r="P181">
        <v>1879</v>
      </c>
      <c r="Q181">
        <v>1011</v>
      </c>
      <c r="R181" s="17">
        <f t="shared" si="6"/>
        <v>543766.13575226115</v>
      </c>
      <c r="S181" s="3">
        <v>1.22</v>
      </c>
      <c r="T181" s="17">
        <f t="shared" si="7"/>
        <v>663394.68561775854</v>
      </c>
      <c r="U181">
        <v>70017</v>
      </c>
      <c r="V181">
        <v>51084</v>
      </c>
      <c r="W181" s="3">
        <f t="shared" si="8"/>
        <v>305892.21556886227</v>
      </c>
    </row>
    <row r="182" spans="1:23" x14ac:dyDescent="0.25">
      <c r="A182" s="26" t="s">
        <v>593</v>
      </c>
      <c r="B182" t="s">
        <v>75</v>
      </c>
      <c r="C182" t="s">
        <v>641</v>
      </c>
      <c r="D182" t="s">
        <v>358</v>
      </c>
      <c r="E182" t="s">
        <v>172</v>
      </c>
      <c r="F182" s="5">
        <v>4.1449999999999996</v>
      </c>
      <c r="G182">
        <v>0</v>
      </c>
      <c r="H182">
        <v>1002</v>
      </c>
      <c r="I182">
        <v>6</v>
      </c>
      <c r="J182">
        <v>3454</v>
      </c>
      <c r="K182">
        <v>1007</v>
      </c>
      <c r="L182">
        <v>3588</v>
      </c>
      <c r="M182">
        <v>1021</v>
      </c>
      <c r="N182">
        <v>3875</v>
      </c>
      <c r="O182">
        <v>1007</v>
      </c>
      <c r="P182">
        <v>3619</v>
      </c>
      <c r="Q182">
        <v>1014</v>
      </c>
      <c r="R182" s="17">
        <f t="shared" si="6"/>
        <v>1031948.9043001491</v>
      </c>
      <c r="S182" s="3">
        <f>1309300/R182</f>
        <v>1.2687643686079069</v>
      </c>
      <c r="T182" s="17">
        <f t="shared" si="7"/>
        <v>1309300</v>
      </c>
      <c r="U182">
        <v>95707</v>
      </c>
      <c r="V182">
        <v>67987</v>
      </c>
      <c r="W182" s="3">
        <f t="shared" si="8"/>
        <v>407107.78443113773</v>
      </c>
    </row>
    <row r="183" spans="1:23" x14ac:dyDescent="0.25">
      <c r="A183" s="26" t="s">
        <v>594</v>
      </c>
      <c r="B183" t="s">
        <v>75</v>
      </c>
      <c r="C183" t="s">
        <v>641</v>
      </c>
      <c r="D183" t="s">
        <v>358</v>
      </c>
      <c r="E183" t="s">
        <v>172</v>
      </c>
      <c r="F183" s="5">
        <v>4.1449999999999996</v>
      </c>
      <c r="G183">
        <v>2</v>
      </c>
      <c r="H183">
        <v>1002</v>
      </c>
      <c r="I183">
        <v>6</v>
      </c>
      <c r="J183">
        <v>3393</v>
      </c>
      <c r="K183">
        <v>1001</v>
      </c>
      <c r="L183">
        <v>3539</v>
      </c>
      <c r="M183">
        <v>1006</v>
      </c>
      <c r="N183">
        <v>3750</v>
      </c>
      <c r="O183">
        <v>1006</v>
      </c>
      <c r="P183">
        <v>3760</v>
      </c>
      <c r="Q183">
        <v>1001</v>
      </c>
      <c r="R183" s="17">
        <f t="shared" si="6"/>
        <v>1034111.2084900849</v>
      </c>
      <c r="S183" s="3">
        <v>1.27</v>
      </c>
      <c r="T183" s="17">
        <f t="shared" si="7"/>
        <v>1313321.2347824078</v>
      </c>
      <c r="U183">
        <v>134478</v>
      </c>
      <c r="V183">
        <v>104339</v>
      </c>
      <c r="W183" s="3">
        <f t="shared" si="8"/>
        <v>624784.43113772455</v>
      </c>
    </row>
    <row r="184" spans="1:23" x14ac:dyDescent="0.25">
      <c r="A184" s="26" t="s">
        <v>595</v>
      </c>
      <c r="B184" t="s">
        <v>75</v>
      </c>
      <c r="C184" t="s">
        <v>641</v>
      </c>
      <c r="D184" t="s">
        <v>358</v>
      </c>
      <c r="E184" t="s">
        <v>172</v>
      </c>
      <c r="F184" s="5">
        <v>4.1449999999999996</v>
      </c>
      <c r="G184">
        <v>5</v>
      </c>
      <c r="H184">
        <v>1002</v>
      </c>
      <c r="I184">
        <v>6</v>
      </c>
      <c r="J184">
        <v>3638</v>
      </c>
      <c r="K184">
        <v>1004</v>
      </c>
      <c r="L184">
        <v>3564</v>
      </c>
      <c r="M184">
        <v>1042</v>
      </c>
      <c r="N184">
        <v>3242</v>
      </c>
      <c r="O184">
        <v>1014</v>
      </c>
      <c r="P184">
        <v>3322</v>
      </c>
      <c r="Q184">
        <v>1005</v>
      </c>
      <c r="R184" s="17">
        <f t="shared" si="6"/>
        <v>973405.70738673327</v>
      </c>
      <c r="S184" s="3">
        <v>1.27</v>
      </c>
      <c r="T184" s="17">
        <f t="shared" si="7"/>
        <v>1236225.2483811514</v>
      </c>
      <c r="U184">
        <v>83298</v>
      </c>
      <c r="V184">
        <v>63633</v>
      </c>
      <c r="W184" s="3">
        <f t="shared" si="8"/>
        <v>381035.92814371258</v>
      </c>
    </row>
    <row r="185" spans="1:23" x14ac:dyDescent="0.25">
      <c r="A185" s="26" t="s">
        <v>596</v>
      </c>
      <c r="B185" t="s">
        <v>75</v>
      </c>
      <c r="C185" t="s">
        <v>641</v>
      </c>
      <c r="D185" t="s">
        <v>358</v>
      </c>
      <c r="E185" t="s">
        <v>172</v>
      </c>
      <c r="F185" s="5">
        <v>4.1449999999999996</v>
      </c>
      <c r="G185">
        <v>10</v>
      </c>
      <c r="H185">
        <v>1002</v>
      </c>
      <c r="I185">
        <v>6</v>
      </c>
      <c r="J185">
        <v>3493</v>
      </c>
      <c r="K185">
        <v>1084</v>
      </c>
      <c r="L185">
        <v>3252</v>
      </c>
      <c r="M185">
        <v>1010</v>
      </c>
      <c r="N185">
        <v>3383</v>
      </c>
      <c r="O185">
        <v>1000</v>
      </c>
      <c r="P185">
        <v>3491</v>
      </c>
      <c r="Q185">
        <v>1000</v>
      </c>
      <c r="R185" s="17">
        <f t="shared" si="6"/>
        <v>956847.42779247335</v>
      </c>
      <c r="S185" s="3">
        <v>1.27</v>
      </c>
      <c r="T185" s="17">
        <f t="shared" si="7"/>
        <v>1215196.2332964411</v>
      </c>
      <c r="U185">
        <v>83494</v>
      </c>
      <c r="V185">
        <v>60042</v>
      </c>
      <c r="W185" s="3">
        <f t="shared" si="8"/>
        <v>359532.93413173652</v>
      </c>
    </row>
    <row r="186" spans="1:23" x14ac:dyDescent="0.25">
      <c r="A186" s="26" t="s">
        <v>597</v>
      </c>
      <c r="B186" t="s">
        <v>75</v>
      </c>
      <c r="C186" t="s">
        <v>641</v>
      </c>
      <c r="D186" t="s">
        <v>358</v>
      </c>
      <c r="E186" t="s">
        <v>172</v>
      </c>
      <c r="F186" s="5">
        <v>4.1449999999999996</v>
      </c>
      <c r="G186">
        <v>15</v>
      </c>
      <c r="H186">
        <v>1002</v>
      </c>
      <c r="I186">
        <v>6</v>
      </c>
      <c r="J186">
        <v>3183</v>
      </c>
      <c r="K186">
        <v>1014</v>
      </c>
      <c r="L186">
        <v>3143</v>
      </c>
      <c r="M186">
        <v>1004</v>
      </c>
      <c r="N186">
        <v>3121</v>
      </c>
      <c r="O186">
        <v>1012</v>
      </c>
      <c r="P186">
        <v>3253</v>
      </c>
      <c r="Q186">
        <v>1002</v>
      </c>
      <c r="R186" s="17">
        <f t="shared" si="6"/>
        <v>905391.40763905714</v>
      </c>
      <c r="S186" s="3">
        <v>1.27</v>
      </c>
      <c r="T186" s="17">
        <f t="shared" si="7"/>
        <v>1149847.0877016026</v>
      </c>
      <c r="U186">
        <v>83034</v>
      </c>
      <c r="V186">
        <v>60834</v>
      </c>
      <c r="W186" s="3">
        <f t="shared" si="8"/>
        <v>364275.44910179643</v>
      </c>
    </row>
    <row r="187" spans="1:23" x14ac:dyDescent="0.25">
      <c r="A187" s="26" t="s">
        <v>598</v>
      </c>
      <c r="B187" t="s">
        <v>75</v>
      </c>
      <c r="C187" t="s">
        <v>641</v>
      </c>
      <c r="D187" t="s">
        <v>358</v>
      </c>
      <c r="E187" t="s">
        <v>172</v>
      </c>
      <c r="F187" s="5">
        <v>4.1449999999999996</v>
      </c>
      <c r="G187">
        <v>30</v>
      </c>
      <c r="H187">
        <v>1002</v>
      </c>
      <c r="I187">
        <v>6</v>
      </c>
      <c r="J187">
        <v>2500</v>
      </c>
      <c r="K187">
        <v>1013</v>
      </c>
      <c r="L187">
        <v>2671</v>
      </c>
      <c r="M187">
        <v>1009</v>
      </c>
      <c r="N187">
        <v>2453</v>
      </c>
      <c r="O187">
        <v>1001</v>
      </c>
      <c r="P187">
        <v>2737</v>
      </c>
      <c r="Q187">
        <v>1010</v>
      </c>
      <c r="R187" s="17">
        <f t="shared" si="6"/>
        <v>738362.36693488085</v>
      </c>
      <c r="S187" s="3">
        <v>1.27</v>
      </c>
      <c r="T187" s="17">
        <f t="shared" si="7"/>
        <v>937720.20600729866</v>
      </c>
      <c r="U187">
        <v>79806</v>
      </c>
      <c r="V187">
        <v>57348</v>
      </c>
      <c r="W187" s="3">
        <f t="shared" si="8"/>
        <v>343401.19760479039</v>
      </c>
    </row>
    <row r="188" spans="1:23" x14ac:dyDescent="0.25">
      <c r="A188" s="26" t="s">
        <v>599</v>
      </c>
      <c r="B188" t="s">
        <v>75</v>
      </c>
      <c r="C188" t="s">
        <v>642</v>
      </c>
      <c r="D188" t="s">
        <v>358</v>
      </c>
      <c r="E188" t="s">
        <v>172</v>
      </c>
      <c r="F188" s="5">
        <v>4.6929999999999996</v>
      </c>
      <c r="G188">
        <v>0</v>
      </c>
      <c r="H188">
        <v>1002</v>
      </c>
      <c r="I188">
        <v>6</v>
      </c>
      <c r="J188">
        <v>3479</v>
      </c>
      <c r="K188">
        <v>1033</v>
      </c>
      <c r="L188">
        <v>3187</v>
      </c>
      <c r="M188">
        <v>1010</v>
      </c>
      <c r="N188">
        <v>3360</v>
      </c>
      <c r="O188">
        <v>1016</v>
      </c>
      <c r="P188">
        <v>3234</v>
      </c>
      <c r="Q188">
        <v>1021</v>
      </c>
      <c r="R188" s="17">
        <f t="shared" si="6"/>
        <v>933979.08638533135</v>
      </c>
      <c r="S188" s="3">
        <f>1309300/R188</f>
        <v>1.4018515179683828</v>
      </c>
      <c r="T188" s="17">
        <f t="shared" si="7"/>
        <v>1309300</v>
      </c>
      <c r="U188">
        <v>89219</v>
      </c>
      <c r="V188">
        <v>68115</v>
      </c>
      <c r="W188" s="3">
        <f t="shared" si="8"/>
        <v>407874.25149700599</v>
      </c>
    </row>
    <row r="189" spans="1:23" x14ac:dyDescent="0.25">
      <c r="A189" s="26" t="s">
        <v>600</v>
      </c>
      <c r="B189" t="s">
        <v>75</v>
      </c>
      <c r="C189" t="s">
        <v>642</v>
      </c>
      <c r="D189" t="s">
        <v>358</v>
      </c>
      <c r="E189" t="s">
        <v>172</v>
      </c>
      <c r="F189" s="5">
        <v>4.6929999999999996</v>
      </c>
      <c r="G189">
        <v>2</v>
      </c>
      <c r="H189">
        <v>1002</v>
      </c>
      <c r="I189">
        <v>6</v>
      </c>
      <c r="J189">
        <v>3792</v>
      </c>
      <c r="K189">
        <v>1010</v>
      </c>
      <c r="L189">
        <v>3639</v>
      </c>
      <c r="M189">
        <v>1011</v>
      </c>
      <c r="N189">
        <v>3606</v>
      </c>
      <c r="O189">
        <v>1009</v>
      </c>
      <c r="P189">
        <v>3873</v>
      </c>
      <c r="Q189">
        <v>1003</v>
      </c>
      <c r="R189" s="17">
        <f t="shared" si="6"/>
        <v>1062690.7693760607</v>
      </c>
      <c r="S189" s="3">
        <v>1.4</v>
      </c>
      <c r="T189" s="17">
        <f t="shared" si="7"/>
        <v>1487767.0771264848</v>
      </c>
      <c r="U189">
        <v>88502</v>
      </c>
      <c r="V189">
        <v>65150</v>
      </c>
      <c r="W189" s="3">
        <f t="shared" si="8"/>
        <v>390119.76047904196</v>
      </c>
    </row>
    <row r="190" spans="1:23" x14ac:dyDescent="0.25">
      <c r="A190" s="26" t="s">
        <v>601</v>
      </c>
      <c r="B190" t="s">
        <v>75</v>
      </c>
      <c r="C190" t="s">
        <v>642</v>
      </c>
      <c r="D190" t="s">
        <v>358</v>
      </c>
      <c r="E190" t="s">
        <v>172</v>
      </c>
      <c r="F190" s="5">
        <v>4.6929999999999996</v>
      </c>
      <c r="G190">
        <v>5</v>
      </c>
      <c r="H190">
        <v>1002</v>
      </c>
      <c r="I190">
        <v>6</v>
      </c>
      <c r="J190">
        <v>3608</v>
      </c>
      <c r="K190">
        <v>1008</v>
      </c>
      <c r="L190">
        <v>3543</v>
      </c>
      <c r="M190">
        <v>1019</v>
      </c>
      <c r="N190">
        <v>3506</v>
      </c>
      <c r="O190">
        <v>1009</v>
      </c>
      <c r="P190">
        <v>3498</v>
      </c>
      <c r="Q190">
        <v>1009</v>
      </c>
      <c r="R190" s="17">
        <f t="shared" si="6"/>
        <v>1005832.0611501911</v>
      </c>
      <c r="S190" s="3">
        <v>1.4</v>
      </c>
      <c r="T190" s="17">
        <f t="shared" si="7"/>
        <v>1408164.8856102675</v>
      </c>
      <c r="U190">
        <v>94650</v>
      </c>
      <c r="V190">
        <v>69972</v>
      </c>
      <c r="W190" s="3">
        <f t="shared" si="8"/>
        <v>418994.01197604788</v>
      </c>
    </row>
    <row r="191" spans="1:23" x14ac:dyDescent="0.25">
      <c r="A191" s="26" t="s">
        <v>602</v>
      </c>
      <c r="B191" t="s">
        <v>75</v>
      </c>
      <c r="C191" t="s">
        <v>642</v>
      </c>
      <c r="D191" t="s">
        <v>358</v>
      </c>
      <c r="E191" t="s">
        <v>172</v>
      </c>
      <c r="F191" s="5">
        <v>4.6929999999999996</v>
      </c>
      <c r="G191">
        <v>10</v>
      </c>
      <c r="H191">
        <v>1002</v>
      </c>
      <c r="I191">
        <v>6</v>
      </c>
      <c r="J191">
        <v>3478</v>
      </c>
      <c r="K191">
        <v>1007</v>
      </c>
      <c r="L191">
        <v>3326</v>
      </c>
      <c r="M191">
        <v>1007</v>
      </c>
      <c r="N191">
        <v>3611</v>
      </c>
      <c r="O191">
        <v>1003</v>
      </c>
      <c r="P191">
        <v>3729</v>
      </c>
      <c r="Q191">
        <v>1013</v>
      </c>
      <c r="R191" s="17">
        <f t="shared" si="6"/>
        <v>1008721.9827858426</v>
      </c>
      <c r="S191" s="3">
        <v>1.4</v>
      </c>
      <c r="T191" s="17">
        <f t="shared" si="7"/>
        <v>1412210.7759001795</v>
      </c>
      <c r="U191">
        <v>96764</v>
      </c>
      <c r="V191">
        <v>73273</v>
      </c>
      <c r="W191" s="3">
        <f t="shared" si="8"/>
        <v>438760.47904191614</v>
      </c>
    </row>
    <row r="192" spans="1:23" x14ac:dyDescent="0.25">
      <c r="A192" s="26" t="s">
        <v>603</v>
      </c>
      <c r="B192" t="s">
        <v>75</v>
      </c>
      <c r="C192" t="s">
        <v>642</v>
      </c>
      <c r="D192" t="s">
        <v>358</v>
      </c>
      <c r="E192" t="s">
        <v>172</v>
      </c>
      <c r="F192" s="5">
        <v>4.6929999999999996</v>
      </c>
      <c r="G192">
        <v>15</v>
      </c>
      <c r="H192">
        <v>1002</v>
      </c>
      <c r="I192">
        <v>6</v>
      </c>
      <c r="J192">
        <v>3093</v>
      </c>
      <c r="K192">
        <v>1014</v>
      </c>
      <c r="L192">
        <v>3449</v>
      </c>
      <c r="M192">
        <v>1153</v>
      </c>
      <c r="N192">
        <v>2970</v>
      </c>
      <c r="O192">
        <v>1014</v>
      </c>
      <c r="P192">
        <v>3030</v>
      </c>
      <c r="Q192">
        <v>1010</v>
      </c>
      <c r="R192" s="17">
        <f t="shared" si="6"/>
        <v>860164.08962457627</v>
      </c>
      <c r="S192" s="3">
        <v>1.4</v>
      </c>
      <c r="T192" s="17">
        <f t="shared" si="7"/>
        <v>1204229.7254744067</v>
      </c>
      <c r="U192">
        <v>86592</v>
      </c>
      <c r="V192">
        <v>64077</v>
      </c>
      <c r="W192" s="3">
        <f t="shared" si="8"/>
        <v>383694.61077844311</v>
      </c>
    </row>
    <row r="193" spans="1:23" x14ac:dyDescent="0.25">
      <c r="A193" s="26" t="s">
        <v>604</v>
      </c>
      <c r="B193" t="s">
        <v>75</v>
      </c>
      <c r="C193" t="s">
        <v>642</v>
      </c>
      <c r="D193" t="s">
        <v>358</v>
      </c>
      <c r="E193" t="s">
        <v>172</v>
      </c>
      <c r="F193" s="5">
        <v>4.6929999999999996</v>
      </c>
      <c r="G193">
        <v>30</v>
      </c>
      <c r="H193">
        <v>1002</v>
      </c>
      <c r="I193">
        <v>6</v>
      </c>
      <c r="J193">
        <v>2907</v>
      </c>
      <c r="K193">
        <v>1009</v>
      </c>
      <c r="L193">
        <v>3156</v>
      </c>
      <c r="M193">
        <v>1012</v>
      </c>
      <c r="N193">
        <v>2862</v>
      </c>
      <c r="O193">
        <v>1009</v>
      </c>
      <c r="P193">
        <v>2946</v>
      </c>
      <c r="Q193">
        <v>1063</v>
      </c>
      <c r="R193" s="17">
        <f t="shared" si="6"/>
        <v>834073.35731722624</v>
      </c>
      <c r="S193" s="3">
        <v>1.4</v>
      </c>
      <c r="T193" s="17">
        <f t="shared" si="7"/>
        <v>1167702.7002441166</v>
      </c>
      <c r="U193">
        <v>89254</v>
      </c>
      <c r="V193">
        <v>63624</v>
      </c>
      <c r="W193" s="3">
        <f t="shared" si="8"/>
        <v>380982.03592814371</v>
      </c>
    </row>
    <row r="194" spans="1:23" x14ac:dyDescent="0.25">
      <c r="A194" s="26" t="s">
        <v>605</v>
      </c>
      <c r="B194" t="s">
        <v>75</v>
      </c>
      <c r="C194" t="s">
        <v>642</v>
      </c>
      <c r="D194" t="s">
        <v>358</v>
      </c>
      <c r="E194" t="s">
        <v>172</v>
      </c>
      <c r="F194" s="5">
        <v>4.6929999999999996</v>
      </c>
      <c r="G194">
        <v>45</v>
      </c>
      <c r="H194">
        <v>1000</v>
      </c>
      <c r="I194">
        <v>2</v>
      </c>
      <c r="J194">
        <v>4081</v>
      </c>
      <c r="K194">
        <v>1001</v>
      </c>
      <c r="L194">
        <v>4338</v>
      </c>
      <c r="M194">
        <v>1016</v>
      </c>
      <c r="N194">
        <v>4293</v>
      </c>
      <c r="O194">
        <v>1017</v>
      </c>
      <c r="P194">
        <v>4087</v>
      </c>
      <c r="Q194">
        <v>1022</v>
      </c>
      <c r="R194" s="17">
        <f t="shared" si="6"/>
        <v>397604.84593836096</v>
      </c>
      <c r="S194" s="3">
        <v>1.4</v>
      </c>
      <c r="T194" s="17">
        <f t="shared" si="7"/>
        <v>556646.78431370528</v>
      </c>
      <c r="U194">
        <v>350759</v>
      </c>
      <c r="V194">
        <v>336462</v>
      </c>
      <c r="W194" s="3">
        <f t="shared" si="8"/>
        <v>672924</v>
      </c>
    </row>
    <row r="195" spans="1:23" x14ac:dyDescent="0.25">
      <c r="A195" s="26" t="s">
        <v>606</v>
      </c>
      <c r="B195" t="s">
        <v>75</v>
      </c>
      <c r="C195" t="s">
        <v>642</v>
      </c>
      <c r="D195" t="s">
        <v>358</v>
      </c>
      <c r="E195" t="s">
        <v>172</v>
      </c>
      <c r="F195" s="5">
        <v>4.6929999999999996</v>
      </c>
      <c r="G195">
        <v>60</v>
      </c>
      <c r="H195">
        <v>1000</v>
      </c>
      <c r="I195">
        <v>2</v>
      </c>
      <c r="J195">
        <v>2534</v>
      </c>
      <c r="K195">
        <v>1020</v>
      </c>
      <c r="L195">
        <v>3175</v>
      </c>
      <c r="M195">
        <v>1013</v>
      </c>
      <c r="N195">
        <v>2791</v>
      </c>
      <c r="O195">
        <v>1018</v>
      </c>
      <c r="P195">
        <v>2405</v>
      </c>
      <c r="Q195">
        <v>1008</v>
      </c>
      <c r="R195" s="17">
        <f t="shared" ref="R195:R211" si="9">AVERAGE(J195/K195,L195/M195,N195/O195,P195/Q195)*(48000/H195)*I195*1000</f>
        <v>257907.15378337979</v>
      </c>
      <c r="S195" s="3">
        <v>1.4</v>
      </c>
      <c r="T195" s="17">
        <f t="shared" ref="T195:T211" si="10">R195*S195</f>
        <v>361070.01529673167</v>
      </c>
      <c r="U195">
        <v>328658</v>
      </c>
      <c r="V195">
        <v>313257</v>
      </c>
      <c r="W195" s="3">
        <f t="shared" ref="W195:W211" si="11">V195*I195/H195*1000</f>
        <v>626514</v>
      </c>
    </row>
    <row r="196" spans="1:23" x14ac:dyDescent="0.25">
      <c r="A196" s="26" t="s">
        <v>607</v>
      </c>
      <c r="B196" t="s">
        <v>75</v>
      </c>
      <c r="C196" t="s">
        <v>643</v>
      </c>
      <c r="D196" t="s">
        <v>358</v>
      </c>
      <c r="E196" t="s">
        <v>172</v>
      </c>
      <c r="F196" s="5">
        <v>4.3639999999999999</v>
      </c>
      <c r="G196">
        <v>0</v>
      </c>
      <c r="H196">
        <v>1002</v>
      </c>
      <c r="I196">
        <v>6</v>
      </c>
      <c r="J196">
        <v>2858</v>
      </c>
      <c r="K196">
        <v>1023</v>
      </c>
      <c r="L196">
        <v>2843</v>
      </c>
      <c r="M196">
        <v>1045</v>
      </c>
      <c r="N196">
        <v>2494</v>
      </c>
      <c r="O196">
        <v>1022</v>
      </c>
      <c r="P196">
        <v>2647</v>
      </c>
      <c r="Q196">
        <v>1046</v>
      </c>
      <c r="R196" s="17">
        <f t="shared" si="9"/>
        <v>753429.26220137381</v>
      </c>
      <c r="S196" s="3">
        <f>1309300/R196</f>
        <v>1.737787561070405</v>
      </c>
      <c r="T196" s="17">
        <f t="shared" si="10"/>
        <v>1309300</v>
      </c>
      <c r="U196">
        <v>59840</v>
      </c>
      <c r="V196">
        <v>45085</v>
      </c>
      <c r="W196" s="3">
        <f t="shared" si="11"/>
        <v>269970.05988023954</v>
      </c>
    </row>
    <row r="197" spans="1:23" x14ac:dyDescent="0.25">
      <c r="A197" s="26" t="s">
        <v>608</v>
      </c>
      <c r="B197" t="s">
        <v>75</v>
      </c>
      <c r="C197" t="s">
        <v>643</v>
      </c>
      <c r="D197" t="s">
        <v>358</v>
      </c>
      <c r="E197" t="s">
        <v>172</v>
      </c>
      <c r="F197" s="5">
        <v>4.3639999999999999</v>
      </c>
      <c r="G197">
        <v>2</v>
      </c>
      <c r="H197">
        <v>1002</v>
      </c>
      <c r="I197">
        <v>6</v>
      </c>
      <c r="J197">
        <v>2771</v>
      </c>
      <c r="K197">
        <v>1022</v>
      </c>
      <c r="L197">
        <v>2723</v>
      </c>
      <c r="M197">
        <v>1016</v>
      </c>
      <c r="N197">
        <v>2857</v>
      </c>
      <c r="O197">
        <v>971</v>
      </c>
      <c r="P197">
        <v>2806</v>
      </c>
      <c r="Q197">
        <v>1013</v>
      </c>
      <c r="R197" s="17">
        <f t="shared" si="9"/>
        <v>797876.84044565167</v>
      </c>
      <c r="S197" s="3">
        <v>1.74</v>
      </c>
      <c r="T197" s="17">
        <f t="shared" si="10"/>
        <v>1388305.7023754339</v>
      </c>
      <c r="U197">
        <v>58469</v>
      </c>
      <c r="V197">
        <v>42996</v>
      </c>
      <c r="W197" s="3">
        <f t="shared" si="11"/>
        <v>257461.07784431137</v>
      </c>
    </row>
    <row r="198" spans="1:23" x14ac:dyDescent="0.25">
      <c r="A198" s="26" t="s">
        <v>609</v>
      </c>
      <c r="B198" t="s">
        <v>75</v>
      </c>
      <c r="C198" t="s">
        <v>643</v>
      </c>
      <c r="D198" t="s">
        <v>358</v>
      </c>
      <c r="E198" t="s">
        <v>172</v>
      </c>
      <c r="F198" s="5">
        <v>4.3639999999999999</v>
      </c>
      <c r="G198">
        <v>5</v>
      </c>
      <c r="H198">
        <v>1002</v>
      </c>
      <c r="I198">
        <v>6</v>
      </c>
      <c r="J198">
        <v>2616</v>
      </c>
      <c r="K198">
        <v>1004</v>
      </c>
      <c r="L198">
        <v>2650</v>
      </c>
      <c r="M198">
        <v>1002</v>
      </c>
      <c r="N198">
        <v>2700</v>
      </c>
      <c r="O198">
        <v>1007</v>
      </c>
      <c r="P198">
        <v>2712</v>
      </c>
      <c r="Q198">
        <v>1009</v>
      </c>
      <c r="R198" s="17">
        <f t="shared" si="9"/>
        <v>763065.58282704419</v>
      </c>
      <c r="S198" s="3">
        <v>1.74</v>
      </c>
      <c r="T198" s="17">
        <f t="shared" si="10"/>
        <v>1327734.1141190568</v>
      </c>
      <c r="U198">
        <v>65264</v>
      </c>
      <c r="V198">
        <v>50135</v>
      </c>
      <c r="W198" s="3">
        <f t="shared" si="11"/>
        <v>300209.58083832334</v>
      </c>
    </row>
    <row r="199" spans="1:23" x14ac:dyDescent="0.25">
      <c r="A199" s="26" t="s">
        <v>610</v>
      </c>
      <c r="B199" t="s">
        <v>75</v>
      </c>
      <c r="C199" t="s">
        <v>643</v>
      </c>
      <c r="D199" t="s">
        <v>358</v>
      </c>
      <c r="E199" t="s">
        <v>172</v>
      </c>
      <c r="F199" s="5">
        <v>4.3639999999999999</v>
      </c>
      <c r="G199">
        <v>10</v>
      </c>
      <c r="H199">
        <v>1002</v>
      </c>
      <c r="I199">
        <v>6</v>
      </c>
      <c r="J199">
        <v>2834</v>
      </c>
      <c r="K199">
        <v>1006</v>
      </c>
      <c r="L199">
        <v>3016</v>
      </c>
      <c r="M199">
        <v>1130</v>
      </c>
      <c r="N199">
        <v>2748</v>
      </c>
      <c r="O199">
        <v>991</v>
      </c>
      <c r="P199">
        <v>2655</v>
      </c>
      <c r="Q199">
        <v>1015</v>
      </c>
      <c r="R199" s="17">
        <f t="shared" si="9"/>
        <v>781425.92482368287</v>
      </c>
      <c r="S199" s="3">
        <v>1.74</v>
      </c>
      <c r="T199" s="17">
        <f t="shared" si="10"/>
        <v>1359681.1091932082</v>
      </c>
      <c r="U199">
        <v>76972</v>
      </c>
      <c r="V199">
        <v>58623</v>
      </c>
      <c r="W199" s="3">
        <f t="shared" si="11"/>
        <v>351035.92814371258</v>
      </c>
    </row>
    <row r="200" spans="1:23" x14ac:dyDescent="0.25">
      <c r="A200" s="26" t="s">
        <v>611</v>
      </c>
      <c r="B200" t="s">
        <v>75</v>
      </c>
      <c r="C200" t="s">
        <v>643</v>
      </c>
      <c r="D200" t="s">
        <v>358</v>
      </c>
      <c r="E200" t="s">
        <v>172</v>
      </c>
      <c r="F200" s="5">
        <v>4.3639999999999999</v>
      </c>
      <c r="G200">
        <v>15</v>
      </c>
      <c r="H200">
        <v>1002</v>
      </c>
      <c r="I200">
        <v>6</v>
      </c>
      <c r="J200">
        <v>2523</v>
      </c>
      <c r="K200">
        <v>1021</v>
      </c>
      <c r="L200">
        <v>2647</v>
      </c>
      <c r="M200">
        <v>1015</v>
      </c>
      <c r="N200">
        <v>2352</v>
      </c>
      <c r="O200">
        <v>1017</v>
      </c>
      <c r="P200">
        <v>568</v>
      </c>
      <c r="Q200">
        <v>1023</v>
      </c>
      <c r="R200" s="17">
        <f t="shared" si="9"/>
        <v>571034.91835552664</v>
      </c>
      <c r="S200" s="3">
        <v>1.74</v>
      </c>
      <c r="T200" s="17">
        <f t="shared" si="10"/>
        <v>993600.75793861633</v>
      </c>
      <c r="U200">
        <v>64631</v>
      </c>
      <c r="V200">
        <v>48947</v>
      </c>
      <c r="W200" s="3">
        <f t="shared" si="11"/>
        <v>293095.80838323355</v>
      </c>
    </row>
    <row r="201" spans="1:23" x14ac:dyDescent="0.25">
      <c r="A201" s="26" t="s">
        <v>612</v>
      </c>
      <c r="B201" t="s">
        <v>75</v>
      </c>
      <c r="C201" t="s">
        <v>643</v>
      </c>
      <c r="D201" t="s">
        <v>358</v>
      </c>
      <c r="E201" t="s">
        <v>172</v>
      </c>
      <c r="F201" s="5">
        <v>4.3639999999999999</v>
      </c>
      <c r="G201">
        <v>30</v>
      </c>
      <c r="H201">
        <v>1002</v>
      </c>
      <c r="I201">
        <v>6</v>
      </c>
      <c r="J201">
        <v>2140</v>
      </c>
      <c r="K201">
        <v>1021</v>
      </c>
      <c r="L201">
        <v>2137</v>
      </c>
      <c r="M201">
        <v>1051</v>
      </c>
      <c r="N201">
        <v>2130</v>
      </c>
      <c r="O201">
        <v>1013</v>
      </c>
      <c r="P201">
        <v>2242</v>
      </c>
      <c r="Q201">
        <v>1014</v>
      </c>
      <c r="R201" s="17">
        <f t="shared" si="9"/>
        <v>606682.39486936585</v>
      </c>
      <c r="S201" s="3">
        <v>1.74</v>
      </c>
      <c r="T201" s="17">
        <f t="shared" si="10"/>
        <v>1055627.3670726966</v>
      </c>
      <c r="U201">
        <v>61376</v>
      </c>
      <c r="V201">
        <v>45229</v>
      </c>
      <c r="W201" s="3">
        <f t="shared" si="11"/>
        <v>270832.33532934135</v>
      </c>
    </row>
    <row r="202" spans="1:23" x14ac:dyDescent="0.25">
      <c r="A202" s="26" t="s">
        <v>613</v>
      </c>
      <c r="B202" t="s">
        <v>75</v>
      </c>
      <c r="C202" t="s">
        <v>643</v>
      </c>
      <c r="D202" t="s">
        <v>358</v>
      </c>
      <c r="E202" t="s">
        <v>172</v>
      </c>
      <c r="F202" s="5">
        <v>4.3639999999999999</v>
      </c>
      <c r="G202">
        <v>45</v>
      </c>
      <c r="H202">
        <v>1000</v>
      </c>
      <c r="I202">
        <v>2</v>
      </c>
      <c r="J202">
        <v>3339</v>
      </c>
      <c r="K202">
        <v>1006</v>
      </c>
      <c r="L202">
        <v>3556</v>
      </c>
      <c r="M202">
        <v>1043</v>
      </c>
      <c r="N202">
        <v>3649</v>
      </c>
      <c r="O202">
        <v>1018</v>
      </c>
      <c r="P202">
        <v>3580</v>
      </c>
      <c r="Q202">
        <v>1028</v>
      </c>
      <c r="R202" s="17">
        <f t="shared" si="9"/>
        <v>331090.82649412187</v>
      </c>
      <c r="S202" s="3">
        <v>1.74</v>
      </c>
      <c r="T202" s="17">
        <f t="shared" si="10"/>
        <v>576098.03809977206</v>
      </c>
      <c r="U202">
        <v>306074</v>
      </c>
      <c r="V202">
        <v>293567</v>
      </c>
      <c r="W202" s="3">
        <f t="shared" si="11"/>
        <v>587134</v>
      </c>
    </row>
    <row r="203" spans="1:23" x14ac:dyDescent="0.25">
      <c r="A203" s="26" t="s">
        <v>614</v>
      </c>
      <c r="B203" t="s">
        <v>75</v>
      </c>
      <c r="C203" t="s">
        <v>643</v>
      </c>
      <c r="D203" t="s">
        <v>358</v>
      </c>
      <c r="E203" t="s">
        <v>172</v>
      </c>
      <c r="F203" s="5">
        <v>4.3639999999999999</v>
      </c>
      <c r="G203">
        <v>60</v>
      </c>
      <c r="H203">
        <v>1000</v>
      </c>
      <c r="I203">
        <v>2</v>
      </c>
      <c r="J203">
        <v>3760</v>
      </c>
      <c r="K203">
        <v>1012</v>
      </c>
      <c r="L203">
        <v>3902</v>
      </c>
      <c r="M203">
        <v>1006</v>
      </c>
      <c r="N203">
        <v>3977</v>
      </c>
      <c r="O203">
        <v>1058</v>
      </c>
      <c r="P203">
        <v>4053</v>
      </c>
      <c r="Q203">
        <v>1014</v>
      </c>
      <c r="R203" s="17">
        <f t="shared" si="9"/>
        <v>368403.91872300406</v>
      </c>
      <c r="S203" s="3">
        <v>1.74</v>
      </c>
      <c r="T203" s="17">
        <f t="shared" si="10"/>
        <v>641022.81857802707</v>
      </c>
      <c r="U203">
        <v>272593</v>
      </c>
      <c r="V203">
        <v>261578</v>
      </c>
      <c r="W203" s="3">
        <f t="shared" si="11"/>
        <v>523155.99999999994</v>
      </c>
    </row>
    <row r="204" spans="1:23" x14ac:dyDescent="0.25">
      <c r="A204" s="26" t="s">
        <v>615</v>
      </c>
      <c r="B204" t="s">
        <v>75</v>
      </c>
      <c r="C204" t="s">
        <v>644</v>
      </c>
      <c r="D204" t="s">
        <v>358</v>
      </c>
      <c r="E204" t="s">
        <v>172</v>
      </c>
      <c r="F204" s="5">
        <v>4.3959999999999999</v>
      </c>
      <c r="G204">
        <v>0</v>
      </c>
      <c r="H204">
        <v>1002</v>
      </c>
      <c r="I204">
        <v>6</v>
      </c>
      <c r="J204">
        <v>3073</v>
      </c>
      <c r="K204">
        <v>1021</v>
      </c>
      <c r="L204">
        <v>3188</v>
      </c>
      <c r="M204">
        <v>1016</v>
      </c>
      <c r="N204">
        <v>2979</v>
      </c>
      <c r="O204">
        <v>1009</v>
      </c>
      <c r="P204">
        <v>3141</v>
      </c>
      <c r="Q204">
        <v>1039</v>
      </c>
      <c r="R204" s="17">
        <f t="shared" si="9"/>
        <v>871122.17068366881</v>
      </c>
      <c r="S204" s="3">
        <f>1309300/R204</f>
        <v>1.5030038771398082</v>
      </c>
      <c r="T204" s="17">
        <f t="shared" si="10"/>
        <v>1309300</v>
      </c>
      <c r="U204">
        <v>77137</v>
      </c>
      <c r="V204">
        <v>56189</v>
      </c>
      <c r="W204" s="3">
        <f t="shared" si="11"/>
        <v>336461.07784431137</v>
      </c>
    </row>
    <row r="205" spans="1:23" x14ac:dyDescent="0.25">
      <c r="A205" s="26" t="s">
        <v>616</v>
      </c>
      <c r="B205" t="s">
        <v>75</v>
      </c>
      <c r="C205" t="s">
        <v>644</v>
      </c>
      <c r="D205" t="s">
        <v>358</v>
      </c>
      <c r="E205" t="s">
        <v>172</v>
      </c>
      <c r="F205" s="5">
        <v>4.3959999999999999</v>
      </c>
      <c r="G205">
        <v>2</v>
      </c>
      <c r="H205">
        <v>1002</v>
      </c>
      <c r="I205">
        <v>6</v>
      </c>
      <c r="J205">
        <v>3252</v>
      </c>
      <c r="K205">
        <v>1013</v>
      </c>
      <c r="L205">
        <v>3221</v>
      </c>
      <c r="M205">
        <v>1016</v>
      </c>
      <c r="N205">
        <v>3254</v>
      </c>
      <c r="O205">
        <v>1026</v>
      </c>
      <c r="P205">
        <v>3411</v>
      </c>
      <c r="Q205">
        <v>1020</v>
      </c>
      <c r="R205" s="17">
        <f t="shared" si="9"/>
        <v>926673.03475459199</v>
      </c>
      <c r="S205" s="3">
        <v>1.5</v>
      </c>
      <c r="T205" s="17">
        <f t="shared" si="10"/>
        <v>1390009.552131888</v>
      </c>
      <c r="U205">
        <v>73354</v>
      </c>
      <c r="V205">
        <v>53063</v>
      </c>
      <c r="W205" s="3">
        <f t="shared" si="11"/>
        <v>317742.51497005986</v>
      </c>
    </row>
    <row r="206" spans="1:23" x14ac:dyDescent="0.25">
      <c r="A206" s="26" t="s">
        <v>617</v>
      </c>
      <c r="B206" t="s">
        <v>75</v>
      </c>
      <c r="C206" t="s">
        <v>644</v>
      </c>
      <c r="D206" t="s">
        <v>358</v>
      </c>
      <c r="E206" t="s">
        <v>172</v>
      </c>
      <c r="F206" s="5">
        <v>4.3959999999999999</v>
      </c>
      <c r="G206">
        <v>5</v>
      </c>
      <c r="H206">
        <v>1002</v>
      </c>
      <c r="I206">
        <v>6</v>
      </c>
      <c r="J206">
        <v>2763</v>
      </c>
      <c r="K206">
        <v>1017</v>
      </c>
      <c r="L206">
        <v>2800</v>
      </c>
      <c r="M206">
        <v>1014</v>
      </c>
      <c r="N206">
        <v>2856</v>
      </c>
      <c r="O206">
        <v>1004</v>
      </c>
      <c r="P206">
        <v>2853</v>
      </c>
      <c r="Q206">
        <v>1020</v>
      </c>
      <c r="R206" s="17">
        <f t="shared" si="9"/>
        <v>799030.111591283</v>
      </c>
      <c r="S206" s="3">
        <v>1.5</v>
      </c>
      <c r="T206" s="17">
        <f t="shared" si="10"/>
        <v>1198545.1673869244</v>
      </c>
      <c r="U206">
        <v>67330</v>
      </c>
      <c r="V206">
        <v>48553</v>
      </c>
      <c r="W206" s="3">
        <f t="shared" si="11"/>
        <v>290736.5269461078</v>
      </c>
    </row>
    <row r="207" spans="1:23" x14ac:dyDescent="0.25">
      <c r="A207" s="26" t="s">
        <v>618</v>
      </c>
      <c r="B207" t="s">
        <v>75</v>
      </c>
      <c r="C207" t="s">
        <v>644</v>
      </c>
      <c r="D207" t="s">
        <v>358</v>
      </c>
      <c r="E207" t="s">
        <v>172</v>
      </c>
      <c r="F207" s="5">
        <v>4.3959999999999999</v>
      </c>
      <c r="G207">
        <v>10</v>
      </c>
      <c r="H207">
        <v>1002</v>
      </c>
      <c r="I207">
        <v>6</v>
      </c>
      <c r="J207">
        <v>2922</v>
      </c>
      <c r="K207">
        <v>1007</v>
      </c>
      <c r="L207">
        <v>3023</v>
      </c>
      <c r="M207">
        <v>1013</v>
      </c>
      <c r="N207">
        <v>2935</v>
      </c>
      <c r="O207">
        <v>1007</v>
      </c>
      <c r="P207">
        <v>3060</v>
      </c>
      <c r="Q207">
        <v>1027</v>
      </c>
      <c r="R207" s="17">
        <f t="shared" si="9"/>
        <v>846470.18602569599</v>
      </c>
      <c r="S207" s="3">
        <v>1.5</v>
      </c>
      <c r="T207" s="17">
        <f t="shared" si="10"/>
        <v>1269705.279038544</v>
      </c>
      <c r="U207">
        <v>73371</v>
      </c>
      <c r="V207">
        <v>53404</v>
      </c>
      <c r="W207" s="3">
        <f t="shared" si="11"/>
        <v>319784.43113772455</v>
      </c>
    </row>
    <row r="208" spans="1:23" x14ac:dyDescent="0.25">
      <c r="A208" s="26" t="s">
        <v>619</v>
      </c>
      <c r="B208" t="s">
        <v>75</v>
      </c>
      <c r="C208" t="s">
        <v>644</v>
      </c>
      <c r="D208" t="s">
        <v>358</v>
      </c>
      <c r="E208" t="s">
        <v>172</v>
      </c>
      <c r="F208" s="5">
        <v>4.3959999999999999</v>
      </c>
      <c r="G208">
        <v>15</v>
      </c>
      <c r="H208">
        <v>1002</v>
      </c>
      <c r="I208">
        <v>6</v>
      </c>
      <c r="J208">
        <v>2868</v>
      </c>
      <c r="K208">
        <v>1018</v>
      </c>
      <c r="L208">
        <v>2788</v>
      </c>
      <c r="M208">
        <v>1012</v>
      </c>
      <c r="N208">
        <v>2936</v>
      </c>
      <c r="O208">
        <v>1018</v>
      </c>
      <c r="P208">
        <v>2823</v>
      </c>
      <c r="Q208">
        <v>1040</v>
      </c>
      <c r="R208" s="17">
        <f t="shared" si="9"/>
        <v>802687.83477593504</v>
      </c>
      <c r="S208" s="3">
        <v>1.5</v>
      </c>
      <c r="T208" s="17">
        <f t="shared" si="10"/>
        <v>1204031.7521639026</v>
      </c>
      <c r="U208">
        <v>80717</v>
      </c>
      <c r="V208">
        <v>57749</v>
      </c>
      <c r="W208" s="3">
        <f t="shared" si="11"/>
        <v>345802.39520958083</v>
      </c>
    </row>
    <row r="209" spans="1:23" x14ac:dyDescent="0.25">
      <c r="A209" s="26" t="s">
        <v>620</v>
      </c>
      <c r="B209" t="s">
        <v>75</v>
      </c>
      <c r="C209" t="s">
        <v>644</v>
      </c>
      <c r="D209" t="s">
        <v>358</v>
      </c>
      <c r="E209" t="s">
        <v>172</v>
      </c>
      <c r="F209" s="5">
        <v>4.3959999999999999</v>
      </c>
      <c r="G209">
        <v>30</v>
      </c>
      <c r="H209">
        <v>1002</v>
      </c>
      <c r="I209">
        <v>6</v>
      </c>
      <c r="J209">
        <v>2614</v>
      </c>
      <c r="K209">
        <v>1018</v>
      </c>
      <c r="L209">
        <v>2829</v>
      </c>
      <c r="M209">
        <v>1012</v>
      </c>
      <c r="N209">
        <v>2612</v>
      </c>
      <c r="O209">
        <v>1003</v>
      </c>
      <c r="P209">
        <v>2663</v>
      </c>
      <c r="Q209">
        <v>1014</v>
      </c>
      <c r="R209" s="17">
        <f t="shared" si="9"/>
        <v>761220.69596163672</v>
      </c>
      <c r="S209" s="3">
        <v>1.5</v>
      </c>
      <c r="T209" s="17">
        <f t="shared" si="10"/>
        <v>1141831.0439424552</v>
      </c>
      <c r="U209">
        <v>75878</v>
      </c>
      <c r="V209">
        <v>56255</v>
      </c>
      <c r="W209" s="3">
        <f t="shared" si="11"/>
        <v>336856.2874251497</v>
      </c>
    </row>
    <row r="210" spans="1:23" x14ac:dyDescent="0.25">
      <c r="A210" s="26" t="s">
        <v>621</v>
      </c>
      <c r="B210" t="s">
        <v>75</v>
      </c>
      <c r="C210" t="s">
        <v>644</v>
      </c>
      <c r="D210" t="s">
        <v>358</v>
      </c>
      <c r="E210" t="s">
        <v>172</v>
      </c>
      <c r="F210" s="5">
        <v>4.3959999999999999</v>
      </c>
      <c r="G210">
        <v>45</v>
      </c>
      <c r="H210">
        <v>1000</v>
      </c>
      <c r="I210">
        <v>2</v>
      </c>
      <c r="J210">
        <v>4514</v>
      </c>
      <c r="K210">
        <v>1033</v>
      </c>
      <c r="L210">
        <v>5145</v>
      </c>
      <c r="M210">
        <v>1013</v>
      </c>
      <c r="N210">
        <v>4741</v>
      </c>
      <c r="O210">
        <v>1015</v>
      </c>
      <c r="P210">
        <v>5002</v>
      </c>
      <c r="Q210">
        <v>1004</v>
      </c>
      <c r="R210" s="17">
        <f t="shared" si="9"/>
        <v>458442.66549239476</v>
      </c>
      <c r="S210" s="3">
        <v>1.5</v>
      </c>
      <c r="T210" s="17">
        <f t="shared" si="10"/>
        <v>687663.99823859218</v>
      </c>
      <c r="U210">
        <v>272899</v>
      </c>
      <c r="V210">
        <v>261222</v>
      </c>
      <c r="W210" s="3">
        <f t="shared" si="11"/>
        <v>522443.99999999994</v>
      </c>
    </row>
    <row r="211" spans="1:23" x14ac:dyDescent="0.25">
      <c r="A211" s="26" t="s">
        <v>622</v>
      </c>
      <c r="B211" t="s">
        <v>75</v>
      </c>
      <c r="C211" t="s">
        <v>644</v>
      </c>
      <c r="D211" t="s">
        <v>358</v>
      </c>
      <c r="E211" t="s">
        <v>172</v>
      </c>
      <c r="F211" s="5">
        <v>4.3959999999999999</v>
      </c>
      <c r="G211">
        <v>60</v>
      </c>
      <c r="H211">
        <v>1000</v>
      </c>
      <c r="I211">
        <v>2</v>
      </c>
      <c r="J211">
        <v>4707</v>
      </c>
      <c r="K211">
        <v>1012</v>
      </c>
      <c r="L211">
        <v>5130</v>
      </c>
      <c r="M211">
        <v>1021</v>
      </c>
      <c r="N211">
        <v>5063</v>
      </c>
      <c r="O211">
        <v>1018</v>
      </c>
      <c r="P211">
        <v>5233</v>
      </c>
      <c r="Q211">
        <v>1013</v>
      </c>
      <c r="R211" s="17">
        <f t="shared" si="9"/>
        <v>475559.83207940275</v>
      </c>
      <c r="S211" s="3">
        <v>1.5</v>
      </c>
      <c r="T211" s="17">
        <f t="shared" si="10"/>
        <v>713339.74811910419</v>
      </c>
      <c r="U211">
        <v>216855</v>
      </c>
      <c r="V211">
        <v>204145</v>
      </c>
      <c r="W211" s="3">
        <f t="shared" si="11"/>
        <v>408290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E437-238A-0145-A16A-F7E819B845A6}">
  <dimension ref="A1:Q43"/>
  <sheetViews>
    <sheetView topLeftCell="A10" workbookViewId="0">
      <pane xSplit="1" topLeftCell="H1" activePane="topRight" state="frozen"/>
      <selection pane="topRight" activeCell="S38" sqref="S38"/>
    </sheetView>
  </sheetViews>
  <sheetFormatPr baseColWidth="10" defaultRowHeight="15.75" x14ac:dyDescent="0.25"/>
  <cols>
    <col min="1" max="1" width="15.375" bestFit="1" customWidth="1"/>
    <col min="2" max="2" width="15.375" customWidth="1"/>
    <col min="3" max="3" width="17.125" bestFit="1" customWidth="1"/>
    <col min="5" max="5" width="19.875" bestFit="1" customWidth="1"/>
    <col min="6" max="6" width="19.875" customWidth="1"/>
    <col min="7" max="7" width="12.125" bestFit="1" customWidth="1"/>
    <col min="8" max="8" width="13.375" bestFit="1" customWidth="1"/>
    <col min="9" max="9" width="12.125" bestFit="1" customWidth="1"/>
    <col min="10" max="10" width="13.375" bestFit="1" customWidth="1"/>
    <col min="11" max="11" width="12.125" bestFit="1" customWidth="1"/>
    <col min="12" max="12" width="13.375" bestFit="1" customWidth="1"/>
    <col min="13" max="14" width="13.375" customWidth="1"/>
    <col min="15" max="15" width="15.625" style="17" bestFit="1" customWidth="1"/>
    <col min="16" max="16" width="23.375" style="3" bestFit="1" customWidth="1"/>
    <col min="17" max="17" width="26" style="3" bestFit="1" customWidth="1"/>
  </cols>
  <sheetData>
    <row r="1" spans="1:17" ht="18.75" x14ac:dyDescent="0.3">
      <c r="A1" s="19" t="s">
        <v>146</v>
      </c>
      <c r="B1" s="19" t="s">
        <v>656</v>
      </c>
      <c r="C1" s="19" t="s">
        <v>623</v>
      </c>
      <c r="D1" s="19" t="s">
        <v>168</v>
      </c>
      <c r="E1" s="19" t="s">
        <v>495</v>
      </c>
      <c r="F1" s="19" t="s">
        <v>496</v>
      </c>
      <c r="G1" s="19" t="s">
        <v>359</v>
      </c>
      <c r="H1" s="19" t="s">
        <v>360</v>
      </c>
      <c r="I1" s="19" t="s">
        <v>361</v>
      </c>
      <c r="J1" s="19" t="s">
        <v>362</v>
      </c>
      <c r="K1" s="19" t="s">
        <v>363</v>
      </c>
      <c r="L1" s="19" t="s">
        <v>364</v>
      </c>
      <c r="M1" s="19" t="s">
        <v>409</v>
      </c>
      <c r="N1" s="19" t="s">
        <v>410</v>
      </c>
      <c r="O1" s="29" t="s">
        <v>365</v>
      </c>
      <c r="P1" s="21" t="s">
        <v>1420</v>
      </c>
      <c r="Q1" s="21" t="s">
        <v>1421</v>
      </c>
    </row>
    <row r="2" spans="1:17" x14ac:dyDescent="0.25">
      <c r="A2" s="26" t="s">
        <v>411</v>
      </c>
      <c r="B2" s="26" t="s">
        <v>654</v>
      </c>
      <c r="C2" s="5">
        <f t="shared" ref="C2:C7" si="0">40.76-37.701</f>
        <v>3.0589999999999975</v>
      </c>
      <c r="D2">
        <v>0</v>
      </c>
      <c r="E2">
        <v>1002</v>
      </c>
      <c r="F2">
        <v>6</v>
      </c>
      <c r="G2">
        <v>177</v>
      </c>
      <c r="H2">
        <v>1020</v>
      </c>
      <c r="I2">
        <v>221</v>
      </c>
      <c r="J2">
        <v>1016</v>
      </c>
      <c r="K2">
        <v>209</v>
      </c>
      <c r="L2">
        <v>1015</v>
      </c>
      <c r="M2">
        <v>222</v>
      </c>
      <c r="N2">
        <v>1015</v>
      </c>
      <c r="O2" s="17">
        <f>(SUM((G2/H2),(I2/J2),(K2/L2),(M2/N2)))/4*(48000/E2)*F2*1000</f>
        <v>58611.710563544708</v>
      </c>
      <c r="P2" s="3">
        <v>44134</v>
      </c>
      <c r="Q2" s="3">
        <v>35210</v>
      </c>
    </row>
    <row r="3" spans="1:17" x14ac:dyDescent="0.25">
      <c r="A3" s="26" t="s">
        <v>412</v>
      </c>
      <c r="B3" s="26" t="s">
        <v>654</v>
      </c>
      <c r="C3" s="5">
        <f t="shared" si="0"/>
        <v>3.0589999999999975</v>
      </c>
      <c r="D3">
        <v>2</v>
      </c>
      <c r="E3">
        <v>1002</v>
      </c>
      <c r="F3">
        <v>6</v>
      </c>
      <c r="G3">
        <v>64</v>
      </c>
      <c r="H3">
        <v>1061</v>
      </c>
      <c r="I3">
        <v>77</v>
      </c>
      <c r="J3">
        <v>939</v>
      </c>
      <c r="K3">
        <v>97</v>
      </c>
      <c r="L3">
        <v>1022</v>
      </c>
      <c r="M3">
        <v>63</v>
      </c>
      <c r="N3">
        <v>1062</v>
      </c>
      <c r="O3" s="17">
        <f t="shared" ref="O3:O43" si="1">(SUM((G3/H3),(I3/J3),(K3/L3),(M3/N3)))/4*(48000/E3)*F3*1000</f>
        <v>21309.452953641307</v>
      </c>
      <c r="P3" s="3">
        <v>64907</v>
      </c>
      <c r="Q3" s="3">
        <v>53509</v>
      </c>
    </row>
    <row r="4" spans="1:17" x14ac:dyDescent="0.25">
      <c r="A4" s="26" t="s">
        <v>413</v>
      </c>
      <c r="B4" s="26" t="s">
        <v>654</v>
      </c>
      <c r="C4" s="5">
        <f t="shared" si="0"/>
        <v>3.0589999999999975</v>
      </c>
      <c r="D4">
        <v>5</v>
      </c>
      <c r="E4">
        <v>1002</v>
      </c>
      <c r="F4">
        <v>6</v>
      </c>
      <c r="G4">
        <v>136</v>
      </c>
      <c r="H4">
        <v>1019</v>
      </c>
      <c r="I4">
        <v>153</v>
      </c>
      <c r="J4">
        <v>1020</v>
      </c>
      <c r="K4">
        <v>156</v>
      </c>
      <c r="L4">
        <v>1011</v>
      </c>
      <c r="M4">
        <v>113</v>
      </c>
      <c r="N4">
        <v>1013</v>
      </c>
      <c r="O4" s="17">
        <f t="shared" si="1"/>
        <v>39471.858906632784</v>
      </c>
      <c r="P4" s="3">
        <v>74988</v>
      </c>
      <c r="Q4" s="3">
        <v>63205</v>
      </c>
    </row>
    <row r="5" spans="1:17" x14ac:dyDescent="0.25">
      <c r="A5" s="26" t="s">
        <v>414</v>
      </c>
      <c r="B5" s="26" t="s">
        <v>654</v>
      </c>
      <c r="C5" s="5">
        <f t="shared" si="0"/>
        <v>3.0589999999999975</v>
      </c>
      <c r="D5">
        <v>10</v>
      </c>
      <c r="E5">
        <v>1002</v>
      </c>
      <c r="F5">
        <v>6</v>
      </c>
      <c r="G5">
        <v>111</v>
      </c>
      <c r="H5">
        <v>1012</v>
      </c>
      <c r="I5">
        <v>139</v>
      </c>
      <c r="J5">
        <v>1018</v>
      </c>
      <c r="K5">
        <v>142</v>
      </c>
      <c r="L5">
        <v>1017</v>
      </c>
      <c r="M5">
        <v>131</v>
      </c>
      <c r="N5">
        <v>1014</v>
      </c>
      <c r="O5" s="17">
        <f t="shared" si="1"/>
        <v>37009.128694620915</v>
      </c>
      <c r="P5" s="3">
        <v>72161</v>
      </c>
      <c r="Q5" s="3">
        <v>60841</v>
      </c>
    </row>
    <row r="6" spans="1:17" x14ac:dyDescent="0.25">
      <c r="A6" s="26" t="s">
        <v>415</v>
      </c>
      <c r="B6" s="26" t="s">
        <v>654</v>
      </c>
      <c r="C6" s="5">
        <f t="shared" si="0"/>
        <v>3.0589999999999975</v>
      </c>
      <c r="D6">
        <v>15</v>
      </c>
      <c r="E6">
        <v>1002</v>
      </c>
      <c r="F6">
        <v>6</v>
      </c>
      <c r="G6">
        <v>45</v>
      </c>
      <c r="H6">
        <v>1012</v>
      </c>
      <c r="I6">
        <v>65</v>
      </c>
      <c r="J6">
        <v>1011</v>
      </c>
      <c r="K6">
        <v>49</v>
      </c>
      <c r="L6">
        <v>1016</v>
      </c>
      <c r="M6">
        <v>57</v>
      </c>
      <c r="N6">
        <v>1020</v>
      </c>
      <c r="O6" s="17">
        <f t="shared" si="1"/>
        <v>15296.039424160621</v>
      </c>
      <c r="P6" s="3">
        <v>103517</v>
      </c>
      <c r="Q6" s="3">
        <v>73163</v>
      </c>
    </row>
    <row r="7" spans="1:17" x14ac:dyDescent="0.25">
      <c r="A7" s="26" t="s">
        <v>416</v>
      </c>
      <c r="B7" s="26" t="s">
        <v>654</v>
      </c>
      <c r="C7" s="5">
        <f t="shared" si="0"/>
        <v>3.0589999999999975</v>
      </c>
      <c r="D7">
        <v>30</v>
      </c>
      <c r="E7">
        <v>1002</v>
      </c>
      <c r="F7">
        <v>6</v>
      </c>
      <c r="G7">
        <v>128</v>
      </c>
      <c r="H7">
        <v>1018</v>
      </c>
      <c r="I7">
        <v>157</v>
      </c>
      <c r="J7">
        <v>1014</v>
      </c>
      <c r="K7">
        <v>158</v>
      </c>
      <c r="L7">
        <v>1008</v>
      </c>
      <c r="M7">
        <v>158</v>
      </c>
      <c r="N7">
        <v>1018</v>
      </c>
      <c r="O7" s="17">
        <f t="shared" si="1"/>
        <v>42576.388342012906</v>
      </c>
      <c r="P7" s="3">
        <v>53985</v>
      </c>
      <c r="Q7" s="3">
        <v>45577</v>
      </c>
    </row>
    <row r="8" spans="1:17" x14ac:dyDescent="0.25">
      <c r="A8" s="26" t="s">
        <v>417</v>
      </c>
      <c r="B8" s="26" t="s">
        <v>158</v>
      </c>
      <c r="C8" s="5">
        <v>2.5720000000000001</v>
      </c>
      <c r="D8">
        <v>0</v>
      </c>
      <c r="E8">
        <v>1002</v>
      </c>
      <c r="F8">
        <v>6</v>
      </c>
      <c r="G8">
        <v>66</v>
      </c>
      <c r="H8">
        <v>1015</v>
      </c>
      <c r="I8">
        <v>83</v>
      </c>
      <c r="J8">
        <v>1210</v>
      </c>
      <c r="K8">
        <v>100</v>
      </c>
      <c r="L8">
        <v>1258</v>
      </c>
      <c r="M8">
        <v>79</v>
      </c>
      <c r="N8">
        <v>1021</v>
      </c>
      <c r="O8" s="17">
        <f t="shared" si="1"/>
        <v>20873.249120121294</v>
      </c>
      <c r="P8" s="3">
        <v>98276</v>
      </c>
      <c r="Q8" s="3">
        <v>69607</v>
      </c>
    </row>
    <row r="9" spans="1:17" x14ac:dyDescent="0.25">
      <c r="A9" s="26" t="s">
        <v>418</v>
      </c>
      <c r="B9" s="26" t="s">
        <v>158</v>
      </c>
      <c r="C9" s="5">
        <v>2.5720000000000001</v>
      </c>
      <c r="D9">
        <v>2</v>
      </c>
      <c r="E9">
        <v>1002</v>
      </c>
      <c r="F9">
        <v>6</v>
      </c>
      <c r="G9">
        <v>88</v>
      </c>
      <c r="H9">
        <v>1150</v>
      </c>
      <c r="I9">
        <v>81</v>
      </c>
      <c r="J9">
        <v>1072</v>
      </c>
      <c r="K9">
        <v>78</v>
      </c>
      <c r="L9">
        <v>1021</v>
      </c>
      <c r="M9">
        <v>61</v>
      </c>
      <c r="N9">
        <v>1015</v>
      </c>
      <c r="O9" s="17">
        <f t="shared" si="1"/>
        <v>20735.975086704435</v>
      </c>
      <c r="P9" s="3">
        <v>74772</v>
      </c>
      <c r="Q9" s="3">
        <v>52154</v>
      </c>
    </row>
    <row r="10" spans="1:17" x14ac:dyDescent="0.25">
      <c r="A10" s="26" t="s">
        <v>419</v>
      </c>
      <c r="B10" s="26" t="s">
        <v>158</v>
      </c>
      <c r="C10" s="5">
        <v>2.5720000000000001</v>
      </c>
      <c r="D10">
        <v>5</v>
      </c>
      <c r="E10">
        <v>1002</v>
      </c>
      <c r="F10">
        <v>6</v>
      </c>
      <c r="G10">
        <v>82</v>
      </c>
      <c r="H10">
        <v>1008</v>
      </c>
      <c r="I10">
        <v>101</v>
      </c>
      <c r="J10">
        <v>1006</v>
      </c>
      <c r="K10">
        <v>81</v>
      </c>
      <c r="L10">
        <v>994</v>
      </c>
      <c r="M10">
        <v>67</v>
      </c>
      <c r="N10">
        <v>1016</v>
      </c>
      <c r="O10" s="17">
        <f t="shared" si="1"/>
        <v>23653.698406325395</v>
      </c>
      <c r="P10" s="3">
        <v>72430</v>
      </c>
      <c r="Q10" s="3">
        <v>51136</v>
      </c>
    </row>
    <row r="11" spans="1:17" x14ac:dyDescent="0.25">
      <c r="A11" s="26" t="s">
        <v>420</v>
      </c>
      <c r="B11" s="26" t="s">
        <v>158</v>
      </c>
      <c r="C11" s="5">
        <v>2.5720000000000001</v>
      </c>
      <c r="D11">
        <v>10</v>
      </c>
      <c r="E11">
        <v>1002</v>
      </c>
      <c r="F11">
        <v>6</v>
      </c>
      <c r="G11">
        <v>89</v>
      </c>
      <c r="H11">
        <v>1004</v>
      </c>
      <c r="I11">
        <v>86</v>
      </c>
      <c r="J11">
        <v>1021</v>
      </c>
      <c r="K11">
        <v>90</v>
      </c>
      <c r="L11">
        <v>1016</v>
      </c>
      <c r="M11">
        <v>87</v>
      </c>
      <c r="N11">
        <v>1018</v>
      </c>
      <c r="O11" s="17">
        <f t="shared" si="1"/>
        <v>24928.450132802256</v>
      </c>
      <c r="P11" s="3">
        <v>75399</v>
      </c>
      <c r="Q11" s="3">
        <v>52956</v>
      </c>
    </row>
    <row r="12" spans="1:17" x14ac:dyDescent="0.25">
      <c r="A12" s="26" t="s">
        <v>421</v>
      </c>
      <c r="B12" s="26" t="s">
        <v>158</v>
      </c>
      <c r="C12" s="5">
        <v>2.5720000000000001</v>
      </c>
      <c r="D12">
        <v>15</v>
      </c>
      <c r="E12">
        <v>1002</v>
      </c>
      <c r="F12">
        <v>6</v>
      </c>
      <c r="G12">
        <v>88</v>
      </c>
      <c r="H12">
        <v>1023</v>
      </c>
      <c r="I12">
        <v>86</v>
      </c>
      <c r="J12">
        <v>1013</v>
      </c>
      <c r="K12">
        <v>74</v>
      </c>
      <c r="L12">
        <v>1032</v>
      </c>
      <c r="M12">
        <v>69</v>
      </c>
      <c r="N12">
        <v>1014</v>
      </c>
      <c r="O12" s="17">
        <f t="shared" si="1"/>
        <v>22323.637113324388</v>
      </c>
      <c r="P12" s="3">
        <v>76258</v>
      </c>
      <c r="Q12" s="3">
        <v>52749</v>
      </c>
    </row>
    <row r="13" spans="1:17" x14ac:dyDescent="0.25">
      <c r="A13" s="26" t="s">
        <v>422</v>
      </c>
      <c r="B13" s="26" t="s">
        <v>158</v>
      </c>
      <c r="C13" s="5">
        <v>2.5720000000000001</v>
      </c>
      <c r="D13">
        <v>30</v>
      </c>
      <c r="E13">
        <v>1002</v>
      </c>
      <c r="F13">
        <v>6</v>
      </c>
      <c r="G13">
        <v>94</v>
      </c>
      <c r="H13">
        <v>1005</v>
      </c>
      <c r="I13">
        <v>102</v>
      </c>
      <c r="J13">
        <v>1015</v>
      </c>
      <c r="K13">
        <v>69</v>
      </c>
      <c r="L13">
        <v>1036</v>
      </c>
      <c r="M13">
        <v>68</v>
      </c>
      <c r="N13">
        <v>1015</v>
      </c>
      <c r="O13" s="17">
        <f t="shared" si="1"/>
        <v>23541.725004060241</v>
      </c>
      <c r="P13" s="3">
        <v>77760</v>
      </c>
      <c r="Q13" s="3">
        <v>54332</v>
      </c>
    </row>
    <row r="14" spans="1:17" x14ac:dyDescent="0.25">
      <c r="A14" s="26" t="s">
        <v>423</v>
      </c>
      <c r="B14" s="26" t="s">
        <v>655</v>
      </c>
      <c r="C14" s="5">
        <v>6.8239999999999998</v>
      </c>
      <c r="D14">
        <v>0</v>
      </c>
      <c r="E14">
        <v>1002</v>
      </c>
      <c r="F14">
        <v>6</v>
      </c>
      <c r="G14">
        <v>171</v>
      </c>
      <c r="H14">
        <v>1015</v>
      </c>
      <c r="I14">
        <v>118</v>
      </c>
      <c r="J14">
        <v>1020</v>
      </c>
      <c r="K14">
        <v>186</v>
      </c>
      <c r="L14">
        <v>1303</v>
      </c>
      <c r="M14">
        <v>125</v>
      </c>
      <c r="N14">
        <v>1024</v>
      </c>
      <c r="O14" s="17">
        <f t="shared" si="1"/>
        <v>39447.449042133609</v>
      </c>
      <c r="P14" s="3">
        <v>90735</v>
      </c>
      <c r="Q14" s="3">
        <v>61516</v>
      </c>
    </row>
    <row r="15" spans="1:17" x14ac:dyDescent="0.25">
      <c r="A15" s="26" t="s">
        <v>424</v>
      </c>
      <c r="B15" s="26" t="s">
        <v>655</v>
      </c>
      <c r="C15" s="5">
        <v>6.8239999999999998</v>
      </c>
      <c r="D15">
        <v>2</v>
      </c>
      <c r="E15">
        <v>1002</v>
      </c>
      <c r="F15">
        <v>6</v>
      </c>
      <c r="G15">
        <v>183</v>
      </c>
      <c r="H15">
        <v>1010</v>
      </c>
      <c r="I15">
        <v>169</v>
      </c>
      <c r="J15">
        <v>1009</v>
      </c>
      <c r="K15">
        <v>164</v>
      </c>
      <c r="L15">
        <v>1129</v>
      </c>
      <c r="M15">
        <v>150</v>
      </c>
      <c r="N15">
        <v>1018</v>
      </c>
      <c r="O15" s="17">
        <f t="shared" si="1"/>
        <v>46080.698411323225</v>
      </c>
      <c r="P15" s="3">
        <v>79989</v>
      </c>
      <c r="Q15" s="3">
        <v>61231</v>
      </c>
    </row>
    <row r="16" spans="1:17" x14ac:dyDescent="0.25">
      <c r="A16" s="26" t="s">
        <v>425</v>
      </c>
      <c r="B16" s="26" t="s">
        <v>655</v>
      </c>
      <c r="C16" s="5">
        <v>6.8239999999999998</v>
      </c>
      <c r="D16">
        <v>5</v>
      </c>
      <c r="E16">
        <v>1002</v>
      </c>
      <c r="F16">
        <v>6</v>
      </c>
      <c r="G16">
        <v>150</v>
      </c>
      <c r="H16">
        <v>1020</v>
      </c>
      <c r="I16">
        <v>158</v>
      </c>
      <c r="J16">
        <v>1008</v>
      </c>
      <c r="K16">
        <v>144</v>
      </c>
      <c r="L16">
        <v>1012</v>
      </c>
      <c r="M16">
        <v>130</v>
      </c>
      <c r="N16">
        <v>1030</v>
      </c>
      <c r="O16" s="17">
        <f t="shared" si="1"/>
        <v>41124.139230684821</v>
      </c>
      <c r="P16" s="3">
        <v>79924</v>
      </c>
      <c r="Q16" s="3">
        <v>62728</v>
      </c>
    </row>
    <row r="17" spans="1:17" x14ac:dyDescent="0.25">
      <c r="A17" s="26" t="s">
        <v>426</v>
      </c>
      <c r="B17" s="26" t="s">
        <v>655</v>
      </c>
      <c r="C17" s="5">
        <v>6.8239999999999998</v>
      </c>
      <c r="D17">
        <v>10</v>
      </c>
      <c r="E17">
        <v>1002</v>
      </c>
      <c r="F17">
        <v>6</v>
      </c>
      <c r="G17">
        <v>158</v>
      </c>
      <c r="H17">
        <v>995</v>
      </c>
      <c r="I17">
        <v>156</v>
      </c>
      <c r="J17">
        <v>1020</v>
      </c>
      <c r="K17">
        <v>156</v>
      </c>
      <c r="L17">
        <v>1016</v>
      </c>
      <c r="M17">
        <v>140</v>
      </c>
      <c r="N17">
        <v>1009</v>
      </c>
      <c r="O17" s="17">
        <f t="shared" si="1"/>
        <v>43403.331180129018</v>
      </c>
      <c r="P17" s="3">
        <v>66535</v>
      </c>
      <c r="Q17" s="3">
        <v>47130</v>
      </c>
    </row>
    <row r="18" spans="1:17" x14ac:dyDescent="0.25">
      <c r="A18" s="26" t="s">
        <v>427</v>
      </c>
      <c r="B18" s="26" t="s">
        <v>655</v>
      </c>
      <c r="C18" s="5">
        <v>6.8239999999999998</v>
      </c>
      <c r="D18">
        <v>15</v>
      </c>
      <c r="E18">
        <v>1002</v>
      </c>
      <c r="F18">
        <v>6</v>
      </c>
      <c r="G18">
        <v>150</v>
      </c>
      <c r="H18">
        <v>1079</v>
      </c>
      <c r="I18">
        <v>144</v>
      </c>
      <c r="J18">
        <v>1006</v>
      </c>
      <c r="K18">
        <v>153</v>
      </c>
      <c r="L18">
        <v>1015</v>
      </c>
      <c r="M18">
        <v>153</v>
      </c>
      <c r="N18">
        <v>1010</v>
      </c>
      <c r="O18" s="17">
        <f t="shared" si="1"/>
        <v>41991.580365244095</v>
      </c>
      <c r="P18" s="3">
        <v>66013</v>
      </c>
      <c r="Q18" s="3">
        <v>49161</v>
      </c>
    </row>
    <row r="19" spans="1:17" x14ac:dyDescent="0.25">
      <c r="A19" s="26" t="s">
        <v>428</v>
      </c>
      <c r="B19" s="26" t="s">
        <v>655</v>
      </c>
      <c r="C19" s="5">
        <v>6.8239999999999998</v>
      </c>
      <c r="D19">
        <v>30</v>
      </c>
      <c r="E19">
        <v>1002</v>
      </c>
      <c r="F19">
        <v>6</v>
      </c>
      <c r="G19">
        <v>166</v>
      </c>
      <c r="H19">
        <v>1021</v>
      </c>
      <c r="I19">
        <v>163</v>
      </c>
      <c r="J19">
        <v>1019</v>
      </c>
      <c r="K19">
        <v>158</v>
      </c>
      <c r="L19">
        <v>1016</v>
      </c>
      <c r="M19">
        <v>159</v>
      </c>
      <c r="N19">
        <v>1020</v>
      </c>
      <c r="O19" s="17">
        <f t="shared" si="1"/>
        <v>45552.618688948911</v>
      </c>
      <c r="P19" s="3">
        <v>79950</v>
      </c>
      <c r="Q19" s="3">
        <v>61981</v>
      </c>
    </row>
    <row r="20" spans="1:17" x14ac:dyDescent="0.25">
      <c r="A20" s="26" t="s">
        <v>429</v>
      </c>
      <c r="B20" s="26" t="s">
        <v>159</v>
      </c>
      <c r="C20" s="5">
        <v>2.4830000000000001</v>
      </c>
      <c r="D20">
        <v>0</v>
      </c>
      <c r="E20">
        <v>1002</v>
      </c>
      <c r="F20">
        <v>6</v>
      </c>
      <c r="G20">
        <v>77</v>
      </c>
      <c r="H20">
        <v>1017</v>
      </c>
      <c r="I20">
        <v>84</v>
      </c>
      <c r="J20">
        <v>1013</v>
      </c>
      <c r="K20">
        <v>93</v>
      </c>
      <c r="L20">
        <v>1008</v>
      </c>
      <c r="M20">
        <v>65</v>
      </c>
      <c r="N20">
        <v>1025</v>
      </c>
      <c r="O20" s="17">
        <f t="shared" si="1"/>
        <v>22585.252724636943</v>
      </c>
      <c r="P20" s="3">
        <v>7516</v>
      </c>
      <c r="Q20" s="3">
        <v>5925</v>
      </c>
    </row>
    <row r="21" spans="1:17" x14ac:dyDescent="0.25">
      <c r="A21" s="26" t="s">
        <v>430</v>
      </c>
      <c r="B21" s="26" t="s">
        <v>159</v>
      </c>
      <c r="C21" s="5">
        <v>2.4830000000000001</v>
      </c>
      <c r="D21">
        <v>2</v>
      </c>
      <c r="E21">
        <v>1002</v>
      </c>
      <c r="F21">
        <v>6</v>
      </c>
      <c r="G21">
        <v>73</v>
      </c>
      <c r="H21">
        <v>1008</v>
      </c>
      <c r="I21">
        <v>89</v>
      </c>
      <c r="J21">
        <v>1009</v>
      </c>
      <c r="K21">
        <v>81</v>
      </c>
      <c r="L21">
        <v>1021</v>
      </c>
      <c r="M21">
        <v>71</v>
      </c>
      <c r="N21">
        <v>1018</v>
      </c>
      <c r="O21" s="17">
        <f t="shared" si="1"/>
        <v>22254.27759203477</v>
      </c>
      <c r="P21" s="3">
        <v>5657</v>
      </c>
      <c r="Q21" s="3">
        <v>4206</v>
      </c>
    </row>
    <row r="22" spans="1:17" x14ac:dyDescent="0.25">
      <c r="A22" s="26" t="s">
        <v>431</v>
      </c>
      <c r="B22" s="26" t="s">
        <v>159</v>
      </c>
      <c r="C22" s="5">
        <v>2.4830000000000001</v>
      </c>
      <c r="D22">
        <v>5</v>
      </c>
      <c r="E22">
        <v>1002</v>
      </c>
      <c r="F22">
        <v>6</v>
      </c>
      <c r="G22">
        <v>88</v>
      </c>
      <c r="H22">
        <v>1014</v>
      </c>
      <c r="I22">
        <v>94</v>
      </c>
      <c r="J22">
        <v>1083</v>
      </c>
      <c r="K22">
        <v>71</v>
      </c>
      <c r="L22">
        <v>1054</v>
      </c>
      <c r="M22">
        <v>69</v>
      </c>
      <c r="N22">
        <v>1020</v>
      </c>
      <c r="O22" s="17">
        <f t="shared" si="1"/>
        <v>22174.162975287429</v>
      </c>
      <c r="P22" s="3">
        <v>8556</v>
      </c>
      <c r="Q22" s="3">
        <v>6998</v>
      </c>
    </row>
    <row r="23" spans="1:17" x14ac:dyDescent="0.25">
      <c r="A23" s="26" t="s">
        <v>432</v>
      </c>
      <c r="B23" s="26" t="s">
        <v>159</v>
      </c>
      <c r="C23" s="5">
        <v>2.4830000000000001</v>
      </c>
      <c r="D23">
        <v>10</v>
      </c>
      <c r="E23">
        <v>1002</v>
      </c>
      <c r="F23">
        <v>6</v>
      </c>
      <c r="G23">
        <v>125</v>
      </c>
      <c r="H23">
        <v>1461</v>
      </c>
      <c r="I23">
        <v>94</v>
      </c>
      <c r="J23">
        <v>1035</v>
      </c>
      <c r="K23">
        <v>78</v>
      </c>
      <c r="L23">
        <v>1014</v>
      </c>
      <c r="M23">
        <v>88</v>
      </c>
      <c r="N23">
        <v>1014</v>
      </c>
      <c r="O23" s="17">
        <f t="shared" si="1"/>
        <v>24437.402150050446</v>
      </c>
      <c r="P23" s="3">
        <v>7138</v>
      </c>
      <c r="Q23" s="3">
        <v>5636</v>
      </c>
    </row>
    <row r="24" spans="1:17" x14ac:dyDescent="0.25">
      <c r="A24" s="26" t="s">
        <v>433</v>
      </c>
      <c r="B24" s="26" t="s">
        <v>159</v>
      </c>
      <c r="C24" s="5">
        <v>2.4830000000000001</v>
      </c>
      <c r="D24">
        <v>15</v>
      </c>
      <c r="E24">
        <v>1002</v>
      </c>
      <c r="F24">
        <v>6</v>
      </c>
      <c r="G24">
        <v>104</v>
      </c>
      <c r="H24">
        <v>1235</v>
      </c>
      <c r="I24">
        <v>89</v>
      </c>
      <c r="J24">
        <v>1011</v>
      </c>
      <c r="K24">
        <v>86</v>
      </c>
      <c r="L24">
        <v>1032</v>
      </c>
      <c r="M24">
        <v>87</v>
      </c>
      <c r="N24">
        <v>1046</v>
      </c>
      <c r="O24" s="17">
        <f t="shared" si="1"/>
        <v>24341.28198717862</v>
      </c>
      <c r="P24" s="3">
        <v>8202</v>
      </c>
      <c r="Q24" s="3">
        <v>6559</v>
      </c>
    </row>
    <row r="25" spans="1:17" x14ac:dyDescent="0.25">
      <c r="A25" s="26" t="s">
        <v>434</v>
      </c>
      <c r="B25" s="26" t="s">
        <v>159</v>
      </c>
      <c r="C25" s="5">
        <v>2.4830000000000001</v>
      </c>
      <c r="D25">
        <v>30</v>
      </c>
      <c r="E25">
        <v>1002</v>
      </c>
      <c r="F25">
        <v>6</v>
      </c>
      <c r="G25">
        <v>83</v>
      </c>
      <c r="H25">
        <v>1121</v>
      </c>
      <c r="I25">
        <v>75</v>
      </c>
      <c r="J25">
        <v>1028</v>
      </c>
      <c r="K25">
        <v>69</v>
      </c>
      <c r="L25">
        <v>1029</v>
      </c>
      <c r="M25">
        <v>72</v>
      </c>
      <c r="N25">
        <v>1024</v>
      </c>
      <c r="O25" s="17">
        <f t="shared" si="1"/>
        <v>20433.494142750995</v>
      </c>
      <c r="P25" s="3">
        <v>9126</v>
      </c>
      <c r="Q25" s="3">
        <v>7515</v>
      </c>
    </row>
    <row r="26" spans="1:17" x14ac:dyDescent="0.25">
      <c r="A26" s="26" t="s">
        <v>435</v>
      </c>
      <c r="B26" s="26" t="s">
        <v>159</v>
      </c>
      <c r="C26" s="5">
        <v>2.4830000000000001</v>
      </c>
      <c r="D26">
        <v>45</v>
      </c>
      <c r="E26">
        <v>1000</v>
      </c>
      <c r="F26">
        <v>2</v>
      </c>
      <c r="G26">
        <v>195</v>
      </c>
      <c r="H26">
        <v>1034</v>
      </c>
      <c r="I26">
        <v>190</v>
      </c>
      <c r="J26">
        <v>1049</v>
      </c>
      <c r="K26">
        <v>230</v>
      </c>
      <c r="L26">
        <v>1030</v>
      </c>
      <c r="M26">
        <v>165</v>
      </c>
      <c r="N26">
        <v>1038</v>
      </c>
      <c r="O26" s="17">
        <f t="shared" si="1"/>
        <v>18047.361528525093</v>
      </c>
      <c r="P26" s="3">
        <v>7275</v>
      </c>
      <c r="Q26" s="3">
        <v>5604</v>
      </c>
    </row>
    <row r="27" spans="1:17" x14ac:dyDescent="0.25">
      <c r="A27" s="26" t="s">
        <v>436</v>
      </c>
      <c r="B27" s="26" t="s">
        <v>159</v>
      </c>
      <c r="C27" s="5">
        <v>2.4830000000000001</v>
      </c>
      <c r="D27">
        <v>60</v>
      </c>
      <c r="E27">
        <v>1000</v>
      </c>
      <c r="F27">
        <v>2</v>
      </c>
      <c r="G27">
        <v>239</v>
      </c>
      <c r="H27">
        <v>1050</v>
      </c>
      <c r="I27">
        <v>220</v>
      </c>
      <c r="J27">
        <v>1140</v>
      </c>
      <c r="K27">
        <v>209</v>
      </c>
      <c r="L27">
        <v>1075</v>
      </c>
      <c r="M27">
        <v>206</v>
      </c>
      <c r="N27">
        <v>1168</v>
      </c>
      <c r="O27" s="17">
        <f t="shared" si="1"/>
        <v>18993.359314182238</v>
      </c>
      <c r="P27" s="3">
        <v>7597</v>
      </c>
      <c r="Q27" s="3">
        <v>5975</v>
      </c>
    </row>
    <row r="28" spans="1:17" x14ac:dyDescent="0.25">
      <c r="A28" s="26" t="s">
        <v>437</v>
      </c>
      <c r="B28" s="26" t="s">
        <v>160</v>
      </c>
      <c r="C28" s="5">
        <v>5.149</v>
      </c>
      <c r="D28">
        <v>0</v>
      </c>
      <c r="E28">
        <v>1002</v>
      </c>
      <c r="F28">
        <v>6</v>
      </c>
      <c r="G28">
        <v>41</v>
      </c>
      <c r="H28">
        <v>1028</v>
      </c>
      <c r="I28">
        <v>50</v>
      </c>
      <c r="J28">
        <v>1187</v>
      </c>
      <c r="K28">
        <v>36</v>
      </c>
      <c r="L28">
        <v>1022</v>
      </c>
      <c r="M28">
        <v>34</v>
      </c>
      <c r="N28">
        <v>1043</v>
      </c>
      <c r="O28" s="17">
        <f t="shared" si="1"/>
        <v>10766.198139357255</v>
      </c>
      <c r="P28" s="3">
        <v>45507</v>
      </c>
      <c r="Q28" s="3">
        <v>31302</v>
      </c>
    </row>
    <row r="29" spans="1:17" x14ac:dyDescent="0.25">
      <c r="A29" s="26" t="s">
        <v>438</v>
      </c>
      <c r="B29" s="26" t="s">
        <v>160</v>
      </c>
      <c r="C29" s="5">
        <v>5.149</v>
      </c>
      <c r="D29">
        <v>2</v>
      </c>
      <c r="E29">
        <v>1002</v>
      </c>
      <c r="F29">
        <v>6</v>
      </c>
      <c r="G29">
        <v>36</v>
      </c>
      <c r="H29">
        <v>1016</v>
      </c>
      <c r="I29">
        <v>29</v>
      </c>
      <c r="J29">
        <v>1016</v>
      </c>
      <c r="K29">
        <v>54</v>
      </c>
      <c r="L29">
        <v>1025</v>
      </c>
      <c r="M29">
        <v>23</v>
      </c>
      <c r="N29">
        <v>1023</v>
      </c>
      <c r="O29" s="17">
        <f t="shared" si="1"/>
        <v>9998.2417891731438</v>
      </c>
      <c r="P29" s="3">
        <v>44890</v>
      </c>
      <c r="Q29" s="3">
        <v>28885</v>
      </c>
    </row>
    <row r="30" spans="1:17" x14ac:dyDescent="0.25">
      <c r="A30" s="26" t="s">
        <v>439</v>
      </c>
      <c r="B30" s="26" t="s">
        <v>160</v>
      </c>
      <c r="C30" s="5">
        <v>5.149</v>
      </c>
      <c r="D30">
        <v>5</v>
      </c>
      <c r="E30">
        <v>1002</v>
      </c>
      <c r="F30">
        <v>6</v>
      </c>
      <c r="G30">
        <v>67</v>
      </c>
      <c r="H30">
        <v>1079</v>
      </c>
      <c r="I30">
        <v>43</v>
      </c>
      <c r="J30">
        <v>1006</v>
      </c>
      <c r="K30">
        <v>64</v>
      </c>
      <c r="L30">
        <v>1380</v>
      </c>
      <c r="M30">
        <v>45</v>
      </c>
      <c r="N30">
        <v>1012</v>
      </c>
      <c r="O30" s="17">
        <f t="shared" si="1"/>
        <v>14060.930694445788</v>
      </c>
      <c r="P30" s="3">
        <v>69321</v>
      </c>
      <c r="Q30" s="3">
        <v>45462</v>
      </c>
    </row>
    <row r="31" spans="1:17" x14ac:dyDescent="0.25">
      <c r="A31" s="26" t="s">
        <v>440</v>
      </c>
      <c r="B31" s="26" t="s">
        <v>160</v>
      </c>
      <c r="C31" s="5">
        <v>5.149</v>
      </c>
      <c r="D31">
        <v>10</v>
      </c>
      <c r="E31">
        <v>1002</v>
      </c>
      <c r="F31">
        <v>6</v>
      </c>
      <c r="G31">
        <v>57</v>
      </c>
      <c r="H31">
        <v>1040</v>
      </c>
      <c r="I31">
        <v>47</v>
      </c>
      <c r="J31">
        <v>1062</v>
      </c>
      <c r="K31">
        <v>42</v>
      </c>
      <c r="L31">
        <v>1017</v>
      </c>
      <c r="M31">
        <v>50</v>
      </c>
      <c r="N31">
        <v>1018</v>
      </c>
      <c r="O31" s="17">
        <f t="shared" si="1"/>
        <v>13615.161304975059</v>
      </c>
      <c r="P31" s="3">
        <v>53466</v>
      </c>
      <c r="Q31" s="3">
        <v>34920</v>
      </c>
    </row>
    <row r="32" spans="1:17" x14ac:dyDescent="0.25">
      <c r="A32" s="26" t="s">
        <v>441</v>
      </c>
      <c r="B32" s="26" t="s">
        <v>160</v>
      </c>
      <c r="C32" s="5">
        <v>5.149</v>
      </c>
      <c r="D32">
        <v>15</v>
      </c>
      <c r="E32">
        <v>1002</v>
      </c>
      <c r="F32">
        <v>6</v>
      </c>
      <c r="G32">
        <v>43</v>
      </c>
      <c r="H32">
        <v>1033</v>
      </c>
      <c r="I32">
        <v>46</v>
      </c>
      <c r="J32">
        <v>1029</v>
      </c>
      <c r="K32">
        <v>52</v>
      </c>
      <c r="L32">
        <v>1025</v>
      </c>
      <c r="M32">
        <v>46</v>
      </c>
      <c r="N32">
        <v>1047</v>
      </c>
      <c r="O32" s="17">
        <f t="shared" si="1"/>
        <v>13005.749938682033</v>
      </c>
      <c r="P32" s="3">
        <v>67004</v>
      </c>
      <c r="Q32" s="3">
        <v>45922</v>
      </c>
    </row>
    <row r="33" spans="1:17" x14ac:dyDescent="0.25">
      <c r="A33" s="26" t="s">
        <v>442</v>
      </c>
      <c r="B33" s="26" t="s">
        <v>160</v>
      </c>
      <c r="C33" s="5">
        <v>5.149</v>
      </c>
      <c r="D33">
        <v>30</v>
      </c>
      <c r="E33">
        <v>1002</v>
      </c>
      <c r="F33">
        <v>6</v>
      </c>
      <c r="G33">
        <v>47</v>
      </c>
      <c r="H33">
        <v>1016</v>
      </c>
      <c r="I33">
        <v>38</v>
      </c>
      <c r="J33">
        <v>1030</v>
      </c>
      <c r="K33">
        <v>50</v>
      </c>
      <c r="L33">
        <v>1032</v>
      </c>
      <c r="M33">
        <v>45</v>
      </c>
      <c r="N33">
        <v>1034</v>
      </c>
      <c r="O33" s="17">
        <f t="shared" si="1"/>
        <v>12583.686343763158</v>
      </c>
      <c r="P33" s="3">
        <v>58463</v>
      </c>
      <c r="Q33" s="3">
        <v>36369</v>
      </c>
    </row>
    <row r="34" spans="1:17" x14ac:dyDescent="0.25">
      <c r="A34" s="26" t="s">
        <v>443</v>
      </c>
      <c r="B34" s="26" t="s">
        <v>160</v>
      </c>
      <c r="C34" s="5">
        <v>5.149</v>
      </c>
      <c r="D34">
        <v>45</v>
      </c>
      <c r="E34">
        <v>1000</v>
      </c>
      <c r="F34">
        <v>2</v>
      </c>
      <c r="G34">
        <v>145</v>
      </c>
      <c r="H34">
        <v>1006</v>
      </c>
      <c r="I34">
        <v>142</v>
      </c>
      <c r="J34">
        <v>1033</v>
      </c>
      <c r="K34">
        <v>204</v>
      </c>
      <c r="L34">
        <v>1018</v>
      </c>
      <c r="M34">
        <v>106</v>
      </c>
      <c r="N34">
        <v>1002</v>
      </c>
      <c r="O34" s="17">
        <f t="shared" si="1"/>
        <v>14106.725695104622</v>
      </c>
      <c r="P34" s="3">
        <v>110608</v>
      </c>
      <c r="Q34" s="3">
        <v>103890</v>
      </c>
    </row>
    <row r="35" spans="1:17" x14ac:dyDescent="0.25">
      <c r="A35" s="26" t="s">
        <v>444</v>
      </c>
      <c r="B35" s="26" t="s">
        <v>160</v>
      </c>
      <c r="C35" s="5">
        <v>5.149</v>
      </c>
      <c r="D35">
        <v>60</v>
      </c>
      <c r="E35">
        <v>1000</v>
      </c>
      <c r="F35">
        <v>2</v>
      </c>
      <c r="G35">
        <v>96</v>
      </c>
      <c r="H35">
        <v>1023</v>
      </c>
      <c r="I35">
        <v>109</v>
      </c>
      <c r="J35">
        <v>1016</v>
      </c>
      <c r="K35">
        <v>128</v>
      </c>
      <c r="L35">
        <v>1207</v>
      </c>
      <c r="M35">
        <v>117</v>
      </c>
      <c r="N35">
        <v>1115</v>
      </c>
      <c r="O35" s="17">
        <f t="shared" si="1"/>
        <v>9890.5414858968852</v>
      </c>
      <c r="P35" s="3">
        <v>260571</v>
      </c>
      <c r="Q35" s="3">
        <v>248499</v>
      </c>
    </row>
    <row r="36" spans="1:17" x14ac:dyDescent="0.25">
      <c r="A36" s="26" t="s">
        <v>445</v>
      </c>
      <c r="B36" s="26" t="s">
        <v>161</v>
      </c>
      <c r="C36" s="5">
        <v>4.7160000000000002</v>
      </c>
      <c r="D36">
        <v>0</v>
      </c>
      <c r="E36">
        <v>1002</v>
      </c>
      <c r="F36">
        <v>6</v>
      </c>
      <c r="G36">
        <v>56</v>
      </c>
      <c r="H36">
        <v>1038</v>
      </c>
      <c r="I36">
        <v>48</v>
      </c>
      <c r="J36">
        <v>1041</v>
      </c>
      <c r="K36">
        <v>48</v>
      </c>
      <c r="L36">
        <v>1055</v>
      </c>
      <c r="M36">
        <v>51</v>
      </c>
      <c r="N36">
        <v>1031</v>
      </c>
      <c r="O36" s="17">
        <f t="shared" si="1"/>
        <v>14013.67052130404</v>
      </c>
      <c r="P36" s="3">
        <v>71574</v>
      </c>
      <c r="Q36" s="3">
        <v>54071</v>
      </c>
    </row>
    <row r="37" spans="1:17" x14ac:dyDescent="0.25">
      <c r="A37" s="26" t="s">
        <v>446</v>
      </c>
      <c r="B37" s="26" t="s">
        <v>161</v>
      </c>
      <c r="C37" s="5">
        <v>4.7160000000000002</v>
      </c>
      <c r="D37">
        <v>2</v>
      </c>
      <c r="E37">
        <v>1002</v>
      </c>
      <c r="F37">
        <v>6</v>
      </c>
      <c r="G37">
        <v>45</v>
      </c>
      <c r="H37">
        <v>1028</v>
      </c>
      <c r="I37">
        <v>56</v>
      </c>
      <c r="J37">
        <v>1034</v>
      </c>
      <c r="K37">
        <v>53</v>
      </c>
      <c r="L37">
        <v>1017</v>
      </c>
      <c r="M37">
        <v>56</v>
      </c>
      <c r="N37">
        <v>1020</v>
      </c>
      <c r="O37" s="17">
        <f t="shared" si="1"/>
        <v>14726.870526767194</v>
      </c>
      <c r="P37" s="3">
        <v>78086</v>
      </c>
      <c r="Q37" s="3">
        <v>51715</v>
      </c>
    </row>
    <row r="38" spans="1:17" x14ac:dyDescent="0.25">
      <c r="A38" s="26" t="s">
        <v>447</v>
      </c>
      <c r="B38" s="26" t="s">
        <v>161</v>
      </c>
      <c r="C38" s="5">
        <v>4.7160000000000002</v>
      </c>
      <c r="D38">
        <v>5</v>
      </c>
      <c r="E38">
        <v>1002</v>
      </c>
      <c r="F38">
        <v>6</v>
      </c>
      <c r="G38">
        <v>64</v>
      </c>
      <c r="H38">
        <v>1058</v>
      </c>
      <c r="I38">
        <v>57</v>
      </c>
      <c r="J38">
        <v>1041</v>
      </c>
      <c r="K38">
        <v>43</v>
      </c>
      <c r="L38">
        <v>1026</v>
      </c>
      <c r="M38">
        <v>66</v>
      </c>
      <c r="N38">
        <v>1010</v>
      </c>
      <c r="O38" s="17">
        <f t="shared" si="1"/>
        <v>15988.268453812425</v>
      </c>
      <c r="P38" s="3">
        <v>61936</v>
      </c>
      <c r="Q38" s="3">
        <v>52659</v>
      </c>
    </row>
    <row r="39" spans="1:17" x14ac:dyDescent="0.25">
      <c r="A39" s="26" t="s">
        <v>448</v>
      </c>
      <c r="B39" s="26" t="s">
        <v>161</v>
      </c>
      <c r="C39" s="5">
        <v>4.7160000000000002</v>
      </c>
      <c r="D39">
        <v>10</v>
      </c>
      <c r="E39">
        <v>1002</v>
      </c>
      <c r="F39">
        <v>6</v>
      </c>
      <c r="G39">
        <v>53</v>
      </c>
      <c r="H39">
        <v>1023</v>
      </c>
      <c r="I39">
        <v>57</v>
      </c>
      <c r="J39">
        <v>1031</v>
      </c>
      <c r="K39">
        <v>58</v>
      </c>
      <c r="L39">
        <v>1005</v>
      </c>
      <c r="M39">
        <v>48</v>
      </c>
      <c r="N39">
        <v>1031</v>
      </c>
      <c r="O39" s="17">
        <f t="shared" si="1"/>
        <v>15187.740390338877</v>
      </c>
      <c r="P39" s="3">
        <v>70661</v>
      </c>
      <c r="Q39" s="3">
        <v>58366</v>
      </c>
    </row>
    <row r="40" spans="1:17" x14ac:dyDescent="0.25">
      <c r="A40" s="26" t="s">
        <v>449</v>
      </c>
      <c r="B40" s="26" t="s">
        <v>161</v>
      </c>
      <c r="C40" s="5">
        <v>4.7160000000000002</v>
      </c>
      <c r="D40">
        <v>15</v>
      </c>
      <c r="E40">
        <v>1002</v>
      </c>
      <c r="F40">
        <v>6</v>
      </c>
      <c r="G40">
        <v>46</v>
      </c>
      <c r="H40">
        <v>1009</v>
      </c>
      <c r="I40">
        <v>51</v>
      </c>
      <c r="J40">
        <v>1016</v>
      </c>
      <c r="K40">
        <v>64</v>
      </c>
      <c r="L40">
        <v>1035</v>
      </c>
      <c r="M40">
        <v>64</v>
      </c>
      <c r="N40">
        <v>1033</v>
      </c>
      <c r="O40" s="17">
        <f t="shared" si="1"/>
        <v>15778.042739452285</v>
      </c>
      <c r="P40" s="3">
        <v>67833</v>
      </c>
      <c r="Q40" s="3">
        <v>54434</v>
      </c>
    </row>
    <row r="41" spans="1:17" x14ac:dyDescent="0.25">
      <c r="A41" s="26" t="s">
        <v>450</v>
      </c>
      <c r="B41" s="26" t="s">
        <v>161</v>
      </c>
      <c r="C41" s="5">
        <v>4.7160000000000002</v>
      </c>
      <c r="D41">
        <v>30</v>
      </c>
      <c r="E41">
        <v>1002</v>
      </c>
      <c r="F41">
        <v>6</v>
      </c>
      <c r="G41">
        <v>69</v>
      </c>
      <c r="H41">
        <v>1008</v>
      </c>
      <c r="I41">
        <v>61</v>
      </c>
      <c r="J41">
        <v>1032</v>
      </c>
      <c r="K41">
        <v>51</v>
      </c>
      <c r="L41">
        <v>1095</v>
      </c>
      <c r="M41">
        <v>44</v>
      </c>
      <c r="N41">
        <v>1014</v>
      </c>
      <c r="O41" s="17">
        <f t="shared" si="1"/>
        <v>15630.808777069495</v>
      </c>
      <c r="P41" s="3">
        <v>67864</v>
      </c>
      <c r="Q41" s="3">
        <v>55552</v>
      </c>
    </row>
    <row r="42" spans="1:17" x14ac:dyDescent="0.25">
      <c r="A42" s="26" t="s">
        <v>451</v>
      </c>
      <c r="B42" s="26" t="s">
        <v>161</v>
      </c>
      <c r="C42" s="5">
        <v>4.7160000000000002</v>
      </c>
      <c r="D42">
        <v>45</v>
      </c>
      <c r="E42">
        <v>1000</v>
      </c>
      <c r="F42">
        <v>2</v>
      </c>
      <c r="G42">
        <v>108</v>
      </c>
      <c r="H42">
        <v>1057</v>
      </c>
      <c r="I42">
        <v>120</v>
      </c>
      <c r="J42">
        <v>1016</v>
      </c>
      <c r="K42">
        <v>112</v>
      </c>
      <c r="L42">
        <v>1014</v>
      </c>
      <c r="M42">
        <v>103</v>
      </c>
      <c r="N42">
        <v>1075</v>
      </c>
      <c r="O42" s="17">
        <f t="shared" si="1"/>
        <v>10237.291400392092</v>
      </c>
      <c r="P42" s="3">
        <v>416464</v>
      </c>
      <c r="Q42" s="3">
        <v>402309</v>
      </c>
    </row>
    <row r="43" spans="1:17" x14ac:dyDescent="0.25">
      <c r="A43" s="26" t="s">
        <v>452</v>
      </c>
      <c r="B43" s="26" t="s">
        <v>161</v>
      </c>
      <c r="C43" s="5">
        <v>4.7160000000000002</v>
      </c>
      <c r="D43">
        <v>60</v>
      </c>
      <c r="E43">
        <v>1000</v>
      </c>
      <c r="F43">
        <v>2</v>
      </c>
      <c r="G43">
        <v>118</v>
      </c>
      <c r="H43">
        <v>1003</v>
      </c>
      <c r="I43">
        <v>133</v>
      </c>
      <c r="J43">
        <v>1148</v>
      </c>
      <c r="K43">
        <v>137</v>
      </c>
      <c r="L43">
        <v>1147</v>
      </c>
      <c r="M43">
        <v>144</v>
      </c>
      <c r="N43">
        <v>1044</v>
      </c>
      <c r="O43" s="17">
        <f t="shared" si="1"/>
        <v>11780.97058825686</v>
      </c>
      <c r="P43" s="3">
        <v>456050</v>
      </c>
      <c r="Q43" s="3">
        <v>439807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BF51-1253-3B45-8609-0B78D094D304}">
  <dimension ref="A1:AC39"/>
  <sheetViews>
    <sheetView workbookViewId="0">
      <pane xSplit="1" topLeftCell="B1" activePane="topRight" state="frozen"/>
      <selection pane="topRight" activeCell="G3" sqref="G3"/>
    </sheetView>
  </sheetViews>
  <sheetFormatPr baseColWidth="10" defaultRowHeight="15.75" x14ac:dyDescent="0.25"/>
  <cols>
    <col min="1" max="1" width="12.5" bestFit="1" customWidth="1"/>
    <col min="2" max="2" width="13.125" bestFit="1" customWidth="1"/>
    <col min="3" max="3" width="16.625" bestFit="1" customWidth="1"/>
    <col min="4" max="4" width="15.375" bestFit="1" customWidth="1"/>
    <col min="5" max="5" width="15.375" customWidth="1"/>
    <col min="6" max="6" width="17.125" bestFit="1" customWidth="1"/>
    <col min="7" max="7" width="17.125" customWidth="1"/>
    <col min="8" max="8" width="33" bestFit="1" customWidth="1"/>
    <col min="10" max="10" width="20.125" style="3" bestFit="1" customWidth="1"/>
    <col min="11" max="11" width="19" style="3" bestFit="1" customWidth="1"/>
    <col min="12" max="12" width="14.5" bestFit="1" customWidth="1"/>
    <col min="13" max="13" width="14.5" customWidth="1"/>
    <col min="14" max="14" width="25.125" style="3" bestFit="1" customWidth="1"/>
    <col min="15" max="15" width="32" style="3" bestFit="1" customWidth="1"/>
    <col min="16" max="16" width="27.125" style="17" bestFit="1" customWidth="1"/>
    <col min="17" max="17" width="31.375" style="17" bestFit="1" customWidth="1"/>
    <col min="18" max="18" width="10.875" style="17"/>
    <col min="19" max="19" width="25.125" style="3" bestFit="1" customWidth="1"/>
    <col min="20" max="21" width="25.125" style="3" customWidth="1"/>
    <col min="22" max="22" width="16" bestFit="1" customWidth="1"/>
    <col min="23" max="23" width="20.375" style="11" bestFit="1" customWidth="1"/>
    <col min="24" max="24" width="20.375" style="17" customWidth="1"/>
    <col min="25" max="25" width="16" bestFit="1" customWidth="1"/>
    <col min="26" max="26" width="13.375" style="45" bestFit="1" customWidth="1"/>
    <col min="27" max="27" width="17.625" style="50" bestFit="1" customWidth="1"/>
    <col min="28" max="28" width="17.375" style="50" bestFit="1" customWidth="1"/>
  </cols>
  <sheetData>
    <row r="1" spans="1:29" ht="18.75" x14ac:dyDescent="0.3">
      <c r="A1" s="19" t="s">
        <v>146</v>
      </c>
      <c r="B1" s="19" t="s">
        <v>165</v>
      </c>
      <c r="C1" s="19" t="s">
        <v>166</v>
      </c>
      <c r="D1" s="19" t="s">
        <v>167</v>
      </c>
      <c r="E1" s="19" t="s">
        <v>625</v>
      </c>
      <c r="F1" s="19" t="s">
        <v>623</v>
      </c>
      <c r="G1" s="19" t="s">
        <v>692</v>
      </c>
      <c r="H1" s="19" t="s">
        <v>685</v>
      </c>
      <c r="I1" s="19" t="s">
        <v>624</v>
      </c>
      <c r="J1" s="21" t="s">
        <v>626</v>
      </c>
      <c r="K1" s="21" t="s">
        <v>627</v>
      </c>
      <c r="L1" s="19" t="s">
        <v>628</v>
      </c>
      <c r="M1" s="19" t="s">
        <v>629</v>
      </c>
      <c r="N1" s="21" t="s">
        <v>630</v>
      </c>
      <c r="O1" s="21" t="s">
        <v>631</v>
      </c>
      <c r="P1" s="29" t="s">
        <v>693</v>
      </c>
      <c r="Q1" s="29" t="s">
        <v>694</v>
      </c>
      <c r="R1" s="29" t="s">
        <v>128</v>
      </c>
      <c r="S1" s="21" t="s">
        <v>695</v>
      </c>
      <c r="T1" s="21" t="s">
        <v>1433</v>
      </c>
      <c r="U1" s="21" t="s">
        <v>1434</v>
      </c>
      <c r="V1" s="19" t="s">
        <v>645</v>
      </c>
      <c r="W1" s="38" t="s">
        <v>681</v>
      </c>
      <c r="X1" s="29" t="s">
        <v>682</v>
      </c>
      <c r="Y1" s="19" t="s">
        <v>646</v>
      </c>
      <c r="Z1" s="43" t="s">
        <v>647</v>
      </c>
      <c r="AA1" s="48" t="s">
        <v>1431</v>
      </c>
      <c r="AB1" s="48" t="s">
        <v>1432</v>
      </c>
      <c r="AC1" s="47" t="s">
        <v>1423</v>
      </c>
    </row>
    <row r="2" spans="1:29" s="31" customFormat="1" x14ac:dyDescent="0.25">
      <c r="A2" s="31" t="s">
        <v>654</v>
      </c>
      <c r="B2" s="31" t="s">
        <v>40</v>
      </c>
      <c r="C2" s="31" t="s">
        <v>40</v>
      </c>
      <c r="D2" s="31" t="s">
        <v>40</v>
      </c>
      <c r="E2">
        <v>30</v>
      </c>
      <c r="F2" s="5">
        <f t="shared" ref="F2" si="0">40.76-37.701</f>
        <v>3.0589999999999975</v>
      </c>
      <c r="G2" s="5">
        <f>(1.2*F2)-0.3</f>
        <v>3.3707999999999969</v>
      </c>
      <c r="H2" s="31" t="s">
        <v>686</v>
      </c>
      <c r="I2" s="31">
        <v>1.2999999999999999E-2</v>
      </c>
      <c r="J2" s="37">
        <f>37348.098 - 157.88043*0.00001</f>
        <v>37348.096421195696</v>
      </c>
      <c r="K2" s="37">
        <f>37348.098 - 157.88043*0.0001</f>
        <v>37348.082211957</v>
      </c>
      <c r="L2" s="37">
        <f>J2-K2</f>
        <v>1.4209238695912063E-2</v>
      </c>
      <c r="M2" s="30">
        <v>1E-4</v>
      </c>
      <c r="N2" s="3">
        <f t="shared" ref="N2:N37" si="1">L2*(1/M2)</f>
        <v>142.09238695912063</v>
      </c>
      <c r="O2" s="37" t="s">
        <v>40</v>
      </c>
      <c r="P2" s="17">
        <f>N2/G2</f>
        <v>42.153906182247766</v>
      </c>
      <c r="Q2" s="36">
        <f>AVERAGE(P2:P7)</f>
        <v>7.9821206470972852</v>
      </c>
      <c r="R2" s="36">
        <f>STDEV(P2:P7)</f>
        <v>24.583242150709264</v>
      </c>
      <c r="S2" s="37"/>
      <c r="T2" s="37"/>
      <c r="U2" s="37"/>
      <c r="W2" s="39">
        <v>0</v>
      </c>
      <c r="X2" s="36"/>
      <c r="Z2" s="44"/>
      <c r="AA2" s="49"/>
      <c r="AB2" s="49"/>
    </row>
    <row r="3" spans="1:29" s="31" customFormat="1" x14ac:dyDescent="0.25">
      <c r="A3" s="31" t="s">
        <v>158</v>
      </c>
      <c r="B3" s="31" t="s">
        <v>40</v>
      </c>
      <c r="C3" s="31" t="s">
        <v>40</v>
      </c>
      <c r="D3" s="31" t="s">
        <v>40</v>
      </c>
      <c r="E3">
        <v>30</v>
      </c>
      <c r="F3" s="5">
        <v>2.5720000000000001</v>
      </c>
      <c r="G3" s="5">
        <f t="shared" ref="G3:G37" si="2">(1.2*F3)-0.3</f>
        <v>2.7864</v>
      </c>
      <c r="H3" s="31" t="s">
        <v>687</v>
      </c>
      <c r="I3" s="31">
        <v>0.218</v>
      </c>
      <c r="J3" s="37">
        <f>21941.087 + 70.21739*0.00001</f>
        <v>21941.0877021739</v>
      </c>
      <c r="K3" s="37">
        <f>21941.087 + 70.21739*0.0001</f>
        <v>21941.094021738998</v>
      </c>
      <c r="L3" s="37">
        <f t="shared" ref="L3:L7" si="3">J3-K3</f>
        <v>-6.3195650982379448E-3</v>
      </c>
      <c r="M3" s="30">
        <v>1E-4</v>
      </c>
      <c r="N3" s="3">
        <f t="shared" si="1"/>
        <v>-63.195650982379448</v>
      </c>
      <c r="O3" s="37" t="s">
        <v>40</v>
      </c>
      <c r="P3" s="17">
        <f t="shared" ref="P3:P37" si="4">N3/G3</f>
        <v>-22.680035523391993</v>
      </c>
      <c r="Q3" s="36"/>
      <c r="R3" s="36"/>
      <c r="S3" s="37"/>
      <c r="T3" s="37"/>
      <c r="U3" s="37"/>
      <c r="W3" s="39">
        <v>0</v>
      </c>
      <c r="X3" s="36"/>
      <c r="Z3" s="44"/>
      <c r="AA3" s="49"/>
      <c r="AB3" s="49"/>
    </row>
    <row r="4" spans="1:29" s="31" customFormat="1" x14ac:dyDescent="0.25">
      <c r="A4" s="31" t="s">
        <v>655</v>
      </c>
      <c r="B4" s="31" t="s">
        <v>40</v>
      </c>
      <c r="C4" s="31" t="s">
        <v>40</v>
      </c>
      <c r="D4" s="31" t="s">
        <v>40</v>
      </c>
      <c r="E4">
        <v>30</v>
      </c>
      <c r="F4" s="5">
        <v>6.8239999999999998</v>
      </c>
      <c r="G4" s="5">
        <f t="shared" si="2"/>
        <v>7.8887999999999989</v>
      </c>
      <c r="H4" s="31" t="s">
        <v>688</v>
      </c>
      <c r="I4" s="31">
        <v>0.22</v>
      </c>
      <c r="J4" s="37">
        <f>41790.489 + 110.59783*0.00001</f>
        <v>41790.490105978301</v>
      </c>
      <c r="K4" s="37">
        <f>41790.489 + 110.59783*0.0001</f>
        <v>41790.500059783</v>
      </c>
      <c r="L4" s="37">
        <f t="shared" si="3"/>
        <v>-9.9538046997622587E-3</v>
      </c>
      <c r="M4" s="30">
        <v>1E-4</v>
      </c>
      <c r="N4" s="3">
        <f t="shared" si="1"/>
        <v>-99.538046997622587</v>
      </c>
      <c r="O4" s="37" t="s">
        <v>40</v>
      </c>
      <c r="P4" s="17">
        <f t="shared" si="4"/>
        <v>-12.61764108579538</v>
      </c>
      <c r="Q4" s="36"/>
      <c r="R4" s="36"/>
      <c r="S4" s="37"/>
      <c r="T4" s="37"/>
      <c r="U4" s="37"/>
      <c r="W4" s="39">
        <v>0</v>
      </c>
      <c r="X4" s="36"/>
      <c r="Z4" s="44"/>
      <c r="AA4" s="49"/>
      <c r="AB4" s="49"/>
    </row>
    <row r="5" spans="1:29" s="31" customFormat="1" x14ac:dyDescent="0.25">
      <c r="A5" s="31" t="s">
        <v>159</v>
      </c>
      <c r="B5" s="31" t="s">
        <v>40</v>
      </c>
      <c r="C5" s="31" t="s">
        <v>40</v>
      </c>
      <c r="D5" s="31" t="s">
        <v>40</v>
      </c>
      <c r="E5">
        <v>60</v>
      </c>
      <c r="F5" s="5">
        <v>2.4830000000000001</v>
      </c>
      <c r="G5" s="5">
        <f t="shared" si="2"/>
        <v>2.6796000000000002</v>
      </c>
      <c r="H5" s="31" t="s">
        <v>689</v>
      </c>
      <c r="I5" s="31">
        <v>0.64800000000000002</v>
      </c>
      <c r="J5" s="37">
        <f>23430.87 - 85.31113*0.00001</f>
        <v>23430.869146888697</v>
      </c>
      <c r="K5" s="37">
        <f>23430.87 - 85.31113*0.0001</f>
        <v>23430.861468887</v>
      </c>
      <c r="L5" s="37">
        <f t="shared" si="3"/>
        <v>7.6780016970587894E-3</v>
      </c>
      <c r="M5" s="30">
        <v>1E-4</v>
      </c>
      <c r="N5" s="3">
        <f t="shared" si="1"/>
        <v>76.780016970587894</v>
      </c>
      <c r="O5" s="37" t="s">
        <v>40</v>
      </c>
      <c r="P5" s="17">
        <f t="shared" si="4"/>
        <v>28.653536710922484</v>
      </c>
      <c r="Q5" s="36"/>
      <c r="R5" s="36"/>
      <c r="S5" s="37"/>
      <c r="T5" s="37"/>
      <c r="U5" s="37"/>
      <c r="W5" s="39">
        <v>0</v>
      </c>
      <c r="X5" s="36"/>
      <c r="Z5" s="44"/>
      <c r="AA5" s="49"/>
      <c r="AB5" s="49"/>
    </row>
    <row r="6" spans="1:29" s="31" customFormat="1" x14ac:dyDescent="0.25">
      <c r="A6" s="31" t="s">
        <v>160</v>
      </c>
      <c r="B6" s="31" t="s">
        <v>40</v>
      </c>
      <c r="C6" s="31" t="s">
        <v>40</v>
      </c>
      <c r="D6" s="31" t="s">
        <v>40</v>
      </c>
      <c r="E6">
        <v>60</v>
      </c>
      <c r="F6" s="5">
        <v>5.149</v>
      </c>
      <c r="G6" s="5">
        <f t="shared" si="2"/>
        <v>5.8788</v>
      </c>
      <c r="H6" s="31" t="s">
        <v>690</v>
      </c>
      <c r="I6" s="31">
        <v>5.0000000000000001E-3</v>
      </c>
      <c r="J6" s="37">
        <f>12385.709 - 5.96213*0.00001</f>
        <v>12385.708940378701</v>
      </c>
      <c r="K6" s="37">
        <f>12385.709 - 5.96213*0.0001</f>
        <v>12385.708403787001</v>
      </c>
      <c r="L6" s="37">
        <f t="shared" si="3"/>
        <v>5.3659170043829363E-4</v>
      </c>
      <c r="M6" s="30">
        <v>1E-4</v>
      </c>
      <c r="N6" s="3">
        <f t="shared" si="1"/>
        <v>5.3659170043829363</v>
      </c>
      <c r="O6" s="37" t="s">
        <v>40</v>
      </c>
      <c r="P6" s="17">
        <f t="shared" si="4"/>
        <v>0.91275719609153849</v>
      </c>
      <c r="Q6" s="36"/>
      <c r="R6" s="36"/>
      <c r="S6" s="37"/>
      <c r="T6" s="37"/>
      <c r="U6" s="37"/>
      <c r="W6" s="39">
        <v>0</v>
      </c>
      <c r="X6" s="36"/>
      <c r="Z6" s="44"/>
      <c r="AA6" s="49"/>
      <c r="AB6" s="49"/>
    </row>
    <row r="7" spans="1:29" s="31" customFormat="1" x14ac:dyDescent="0.25">
      <c r="A7" s="31" t="s">
        <v>161</v>
      </c>
      <c r="B7" s="31" t="s">
        <v>40</v>
      </c>
      <c r="C7" s="31" t="s">
        <v>40</v>
      </c>
      <c r="D7" s="31" t="s">
        <v>40</v>
      </c>
      <c r="E7">
        <v>60</v>
      </c>
      <c r="F7" s="5">
        <v>4.7160000000000002</v>
      </c>
      <c r="G7" s="5">
        <f t="shared" si="2"/>
        <v>5.3592000000000004</v>
      </c>
      <c r="H7" s="31" t="s">
        <v>691</v>
      </c>
      <c r="I7" s="31">
        <v>0.51400000000000001</v>
      </c>
      <c r="J7" s="37">
        <f>15588.288 - 68.30122*0.00001</f>
        <v>15588.2873169878</v>
      </c>
      <c r="K7" s="37">
        <f>15588.288 - 68.30122*0.0001</f>
        <v>15588.281169878001</v>
      </c>
      <c r="L7" s="37">
        <f t="shared" si="3"/>
        <v>6.1471097997127799E-3</v>
      </c>
      <c r="M7" s="30">
        <v>1E-4</v>
      </c>
      <c r="N7" s="3">
        <f t="shared" si="1"/>
        <v>61.471097997127799</v>
      </c>
      <c r="O7" s="37" t="s">
        <v>40</v>
      </c>
      <c r="P7" s="17">
        <f t="shared" si="4"/>
        <v>11.470200402509292</v>
      </c>
      <c r="Q7" s="36"/>
      <c r="R7" s="36"/>
      <c r="S7" s="37"/>
      <c r="T7" s="37"/>
      <c r="U7" s="37"/>
      <c r="W7" s="39">
        <v>0</v>
      </c>
      <c r="X7" s="36"/>
      <c r="Z7" s="44"/>
      <c r="AA7" s="49"/>
      <c r="AB7" s="49"/>
    </row>
    <row r="8" spans="1:29" x14ac:dyDescent="0.25">
      <c r="A8" t="s">
        <v>63</v>
      </c>
      <c r="B8" t="s">
        <v>6</v>
      </c>
      <c r="C8" t="s">
        <v>408</v>
      </c>
      <c r="D8" t="s">
        <v>170</v>
      </c>
      <c r="E8">
        <v>30</v>
      </c>
      <c r="F8" s="5">
        <v>4.7009999999999996</v>
      </c>
      <c r="G8" s="5">
        <f t="shared" si="2"/>
        <v>5.3411999999999997</v>
      </c>
      <c r="H8" t="s">
        <v>649</v>
      </c>
      <c r="I8">
        <v>0.34300000000000003</v>
      </c>
      <c r="J8" s="3">
        <f>(1017951.923 * EXP(1)^(-0.00695 * 0.00001))*1000</f>
        <v>1017951852.2523438</v>
      </c>
      <c r="K8" s="3">
        <f>(1017951.923 * EXP(1)^(-0.00695 * 0.0001))*1000</f>
        <v>1017951215.5236592</v>
      </c>
      <c r="L8" s="3">
        <f>J8-K8</f>
        <v>636.72868454456329</v>
      </c>
      <c r="M8" s="30">
        <v>1E-4</v>
      </c>
      <c r="N8" s="3">
        <f t="shared" si="1"/>
        <v>6367286.8454456329</v>
      </c>
      <c r="O8" s="3">
        <f t="shared" ref="O8:O37" si="5">N8-$Q$2</f>
        <v>6367278.8633249858</v>
      </c>
      <c r="P8" s="17">
        <f t="shared" si="4"/>
        <v>1192107.9243326655</v>
      </c>
      <c r="Q8" s="17">
        <f>AVERAGE(P8:P13)</f>
        <v>2267134.7570780963</v>
      </c>
      <c r="R8" s="17">
        <f>STDEV(P8:P13)</f>
        <v>1206811.966981729</v>
      </c>
      <c r="S8" s="3">
        <f>P8/V8</f>
        <v>1.1710846133537391</v>
      </c>
      <c r="T8" s="3">
        <f>AVERAGE(S8:S13)</f>
        <v>2.0246563905640294</v>
      </c>
      <c r="U8" s="3">
        <f>STDEV(S8:S13)</f>
        <v>0.9436268223244475</v>
      </c>
      <c r="V8">
        <v>1017952</v>
      </c>
      <c r="W8" s="11">
        <f>AVERAGE($V$8:$V$37)</f>
        <v>1309299.8666666667</v>
      </c>
      <c r="X8" s="17">
        <f>STDEV($V$8:$V$37)</f>
        <v>425827.05466880882</v>
      </c>
      <c r="Y8">
        <f t="shared" ref="Y8:Y37" si="6">V8-(N8*E8/1000)</f>
        <v>826933.39463663101</v>
      </c>
      <c r="Z8" s="45">
        <f>((V8-Y8)/V8)</f>
        <v>0.18764991410534976</v>
      </c>
      <c r="AA8" s="50">
        <f>AVERAGE(Z8:Z10)</f>
        <v>0.28844986297537872</v>
      </c>
      <c r="AB8" s="50">
        <f>STDEV(Z8:Z10)</f>
        <v>9.9262368278438137E-2</v>
      </c>
      <c r="AC8">
        <v>324802.39520958083</v>
      </c>
    </row>
    <row r="9" spans="1:29" x14ac:dyDescent="0.25">
      <c r="A9" t="s">
        <v>64</v>
      </c>
      <c r="B9" t="s">
        <v>6</v>
      </c>
      <c r="C9" t="s">
        <v>408</v>
      </c>
      <c r="D9" t="s">
        <v>170</v>
      </c>
      <c r="E9">
        <v>30</v>
      </c>
      <c r="F9" s="5">
        <v>7.5289999999999999</v>
      </c>
      <c r="G9" s="5">
        <f t="shared" si="2"/>
        <v>8.7347999999999981</v>
      </c>
      <c r="H9" t="s">
        <v>648</v>
      </c>
      <c r="I9">
        <v>0.81100000000000005</v>
      </c>
      <c r="J9" s="3">
        <f>(1021450.897 * EXP(1)^(-0.0143 * 0.00001))*1000</f>
        <v>1021450750.9325321</v>
      </c>
      <c r="K9" s="3">
        <f>(1021450.897 * EXP(1)^(-0.0143 * 0.0001))*1000</f>
        <v>1021449436.3262616</v>
      </c>
      <c r="L9" s="3">
        <f t="shared" ref="L9:L37" si="7">J9-K9</f>
        <v>1314.6062704324722</v>
      </c>
      <c r="M9" s="30">
        <v>1E-4</v>
      </c>
      <c r="N9" s="3">
        <f t="shared" si="1"/>
        <v>13146062.704324722</v>
      </c>
      <c r="O9" s="3">
        <f t="shared" si="5"/>
        <v>13146054.722204074</v>
      </c>
      <c r="P9" s="17">
        <f t="shared" si="4"/>
        <v>1505021.603737318</v>
      </c>
      <c r="S9" s="3">
        <f t="shared" ref="S9:S37" si="8">P9/V9</f>
        <v>1.4734153706221031</v>
      </c>
      <c r="V9">
        <v>1021451</v>
      </c>
      <c r="W9" s="11">
        <f t="shared" ref="W9:W37" si="9">AVERAGE($V$8:$V$37)</f>
        <v>1309299.8666666667</v>
      </c>
      <c r="X9" s="17">
        <f t="shared" ref="X9:X37" si="10">STDEV($V$8:$V$37)</f>
        <v>425827.05466880882</v>
      </c>
      <c r="Y9">
        <f t="shared" si="6"/>
        <v>627069.11887025833</v>
      </c>
      <c r="Z9" s="45">
        <f t="shared" ref="Z9:Z37" si="11">((V9-Y9)/V9)</f>
        <v>0.38609965737929836</v>
      </c>
      <c r="AC9">
        <v>323553.89221556886</v>
      </c>
    </row>
    <row r="10" spans="1:29" x14ac:dyDescent="0.25">
      <c r="A10" t="s">
        <v>65</v>
      </c>
      <c r="B10" t="s">
        <v>6</v>
      </c>
      <c r="C10" t="s">
        <v>408</v>
      </c>
      <c r="D10" t="s">
        <v>170</v>
      </c>
      <c r="E10">
        <v>30</v>
      </c>
      <c r="F10" s="5">
        <v>5.7389999999999999</v>
      </c>
      <c r="G10" s="5">
        <f t="shared" si="2"/>
        <v>6.5868000000000002</v>
      </c>
      <c r="H10" t="s">
        <v>650</v>
      </c>
      <c r="I10">
        <v>0.92</v>
      </c>
      <c r="J10" s="3">
        <f>(1040133.68 * EXP(1)^(-0.0108 * 0.00001))*1000</f>
        <v>1040133567.6655687</v>
      </c>
      <c r="K10" s="3">
        <f>(1040133.68 * EXP(1)^(-0.0108 * 0.0001))*1000</f>
        <v>1040132556.6562322</v>
      </c>
      <c r="L10" s="3">
        <f t="shared" si="7"/>
        <v>1011.0093364715576</v>
      </c>
      <c r="M10" s="30">
        <v>1E-4</v>
      </c>
      <c r="N10" s="3">
        <f t="shared" si="1"/>
        <v>10110093.364715576</v>
      </c>
      <c r="O10" s="3">
        <f t="shared" si="5"/>
        <v>10110085.382594928</v>
      </c>
      <c r="P10" s="17">
        <f t="shared" si="4"/>
        <v>1534902.1322517118</v>
      </c>
      <c r="S10" s="3">
        <f t="shared" si="8"/>
        <v>1.4756787182521003</v>
      </c>
      <c r="V10">
        <v>1040133</v>
      </c>
      <c r="W10" s="11">
        <f t="shared" si="9"/>
        <v>1309299.8666666667</v>
      </c>
      <c r="X10" s="17">
        <f t="shared" si="10"/>
        <v>425827.05466880882</v>
      </c>
      <c r="Y10">
        <f t="shared" si="6"/>
        <v>736830.19905853271</v>
      </c>
      <c r="Z10" s="45">
        <f t="shared" si="11"/>
        <v>0.29160001744148806</v>
      </c>
      <c r="AC10">
        <v>286147.70459081838</v>
      </c>
    </row>
    <row r="11" spans="1:29" x14ac:dyDescent="0.25">
      <c r="A11" t="s">
        <v>66</v>
      </c>
      <c r="B11" t="s">
        <v>6</v>
      </c>
      <c r="C11" t="s">
        <v>408</v>
      </c>
      <c r="D11" t="s">
        <v>170</v>
      </c>
      <c r="E11">
        <v>60</v>
      </c>
      <c r="F11" s="5">
        <v>4.2270000000000003</v>
      </c>
      <c r="G11" s="5">
        <f t="shared" si="2"/>
        <v>4.7724000000000002</v>
      </c>
      <c r="H11" t="s">
        <v>651</v>
      </c>
      <c r="I11">
        <v>0.95399999999999996</v>
      </c>
      <c r="J11" s="3">
        <f>(1058130.935 * EXP(1)^(-0.01802 * 0.00001))*1000</f>
        <v>1058130744.3248227</v>
      </c>
      <c r="K11" s="3">
        <f>(1058130.935 * EXP(1)^(-0.01802 * 0.0001))*1000</f>
        <v>1058129028.2497729</v>
      </c>
      <c r="L11" s="3">
        <f t="shared" si="7"/>
        <v>1716.0750497579575</v>
      </c>
      <c r="M11" s="30">
        <v>1E-4</v>
      </c>
      <c r="N11" s="3">
        <f t="shared" si="1"/>
        <v>17160750.497579575</v>
      </c>
      <c r="O11" s="3">
        <f t="shared" si="5"/>
        <v>17160742.515458927</v>
      </c>
      <c r="P11" s="17">
        <f t="shared" si="4"/>
        <v>3595832.3899043612</v>
      </c>
      <c r="S11" s="3">
        <f t="shared" si="8"/>
        <v>3.3982865920234464</v>
      </c>
      <c r="V11">
        <v>1058131</v>
      </c>
      <c r="W11" s="11">
        <f t="shared" si="9"/>
        <v>1309299.8666666667</v>
      </c>
      <c r="X11" s="17">
        <f t="shared" si="10"/>
        <v>425827.05466880882</v>
      </c>
      <c r="Y11">
        <f t="shared" si="6"/>
        <v>28485.970145225525</v>
      </c>
      <c r="Z11" s="45">
        <f t="shared" si="11"/>
        <v>0.97307897590636172</v>
      </c>
      <c r="AA11" s="50">
        <f>AVERAGE(Z11:Z13)</f>
        <v>0.8632793750404234</v>
      </c>
      <c r="AB11" s="50">
        <f>STDEV(Z11:Z13)</f>
        <v>9.6042719660204945E-2</v>
      </c>
      <c r="AC11">
        <v>298416.20508982032</v>
      </c>
    </row>
    <row r="12" spans="1:29" x14ac:dyDescent="0.25">
      <c r="A12" t="s">
        <v>67</v>
      </c>
      <c r="B12" t="s">
        <v>6</v>
      </c>
      <c r="C12" t="s">
        <v>408</v>
      </c>
      <c r="D12" t="s">
        <v>170</v>
      </c>
      <c r="E12">
        <v>60</v>
      </c>
      <c r="F12" s="5">
        <v>3.8769999999999998</v>
      </c>
      <c r="G12" s="5">
        <f t="shared" si="2"/>
        <v>4.3523999999999994</v>
      </c>
      <c r="H12" t="s">
        <v>652</v>
      </c>
      <c r="I12">
        <v>0.91500000000000004</v>
      </c>
      <c r="J12" s="3">
        <f>(1314042.989 * EXP(1)^(-0.01472 * 0.00001))*1000</f>
        <v>1314042795.5728862</v>
      </c>
      <c r="K12" s="3">
        <f>(1314042.989 * EXP(1)^(-0.01472 * 0.0001))*1000</f>
        <v>1314041054.7301438</v>
      </c>
      <c r="L12" s="3">
        <f t="shared" si="7"/>
        <v>1740.8427424430847</v>
      </c>
      <c r="M12" s="30">
        <v>1E-4</v>
      </c>
      <c r="N12" s="3">
        <f t="shared" si="1"/>
        <v>17408427.424430847</v>
      </c>
      <c r="O12" s="3">
        <f t="shared" si="5"/>
        <v>17408419.442310199</v>
      </c>
      <c r="P12" s="17">
        <f t="shared" si="4"/>
        <v>3999730.5910373242</v>
      </c>
      <c r="S12" s="3">
        <f t="shared" si="8"/>
        <v>3.043837709173165</v>
      </c>
      <c r="V12">
        <v>1314042</v>
      </c>
      <c r="W12" s="11">
        <f t="shared" si="9"/>
        <v>1309299.8666666667</v>
      </c>
      <c r="X12" s="17">
        <f t="shared" si="10"/>
        <v>425827.05466880882</v>
      </c>
      <c r="Y12">
        <f t="shared" si="6"/>
        <v>269536.35453414917</v>
      </c>
      <c r="Z12" s="45">
        <f t="shared" si="11"/>
        <v>0.79487995472431694</v>
      </c>
      <c r="AC12">
        <v>265886.52844311378</v>
      </c>
    </row>
    <row r="13" spans="1:29" x14ac:dyDescent="0.25">
      <c r="A13" t="s">
        <v>68</v>
      </c>
      <c r="B13" t="s">
        <v>6</v>
      </c>
      <c r="C13" t="s">
        <v>408</v>
      </c>
      <c r="D13" t="s">
        <v>170</v>
      </c>
      <c r="E13">
        <v>60</v>
      </c>
      <c r="F13" s="5">
        <v>7.4489999999999998</v>
      </c>
      <c r="G13" s="5">
        <f t="shared" si="2"/>
        <v>8.638799999999998</v>
      </c>
      <c r="H13" t="s">
        <v>653</v>
      </c>
      <c r="I13">
        <v>0.93100000000000005</v>
      </c>
      <c r="J13" s="3">
        <f>(1119559.84 * EXP(1)^(-0.01522 * 0.00001))*1000</f>
        <v>1119559669.6030054</v>
      </c>
      <c r="K13" s="3">
        <f>(1119559.84 * EXP(1)^(-0.01522 * 0.0001))*1000</f>
        <v>1119558136.0312204</v>
      </c>
      <c r="L13" s="3">
        <f t="shared" si="7"/>
        <v>1533.5717849731445</v>
      </c>
      <c r="M13" s="30">
        <v>1E-4</v>
      </c>
      <c r="N13" s="3">
        <f t="shared" si="1"/>
        <v>15335717.849731445</v>
      </c>
      <c r="O13" s="3">
        <f t="shared" si="5"/>
        <v>15335709.867610797</v>
      </c>
      <c r="P13" s="17">
        <f t="shared" si="4"/>
        <v>1775213.9012051963</v>
      </c>
      <c r="S13" s="3">
        <f t="shared" si="8"/>
        <v>1.5856353399596237</v>
      </c>
      <c r="V13">
        <v>1119560</v>
      </c>
      <c r="W13" s="11">
        <f t="shared" si="9"/>
        <v>1309299.8666666667</v>
      </c>
      <c r="X13" s="17">
        <f t="shared" si="10"/>
        <v>425827.05466880882</v>
      </c>
      <c r="Y13">
        <f t="shared" si="6"/>
        <v>199416.92901611328</v>
      </c>
      <c r="Z13" s="45">
        <f t="shared" si="11"/>
        <v>0.82187919449059155</v>
      </c>
      <c r="AC13">
        <v>263654.78443113773</v>
      </c>
    </row>
    <row r="14" spans="1:29" s="33" customFormat="1" x14ac:dyDescent="0.25">
      <c r="A14" s="33" t="s">
        <v>45</v>
      </c>
      <c r="B14" s="33" t="s">
        <v>23</v>
      </c>
      <c r="C14" s="33" t="s">
        <v>175</v>
      </c>
      <c r="D14" s="33" t="s">
        <v>170</v>
      </c>
      <c r="E14" s="33">
        <v>30</v>
      </c>
      <c r="F14" s="34">
        <v>4.4130000000000003</v>
      </c>
      <c r="G14" s="34">
        <f t="shared" si="2"/>
        <v>4.9956000000000005</v>
      </c>
      <c r="H14" s="33" t="s">
        <v>657</v>
      </c>
      <c r="I14" s="33">
        <v>3.1E-2</v>
      </c>
      <c r="J14" s="40">
        <f>1557093.975 * EXP(1)^(0.00387 * 0.00001)*1000</f>
        <v>1557094035.2595382</v>
      </c>
      <c r="K14" s="40">
        <f>1557093.975 * EXP(1)^(0.00387 * 0.0001)*1000</f>
        <v>1557094577.595485</v>
      </c>
      <c r="L14" s="40">
        <f t="shared" si="7"/>
        <v>-542.33594679832458</v>
      </c>
      <c r="M14" s="41">
        <v>1E-4</v>
      </c>
      <c r="N14" s="3">
        <f t="shared" si="1"/>
        <v>-5423359.4679832458</v>
      </c>
      <c r="O14" s="40">
        <f t="shared" si="5"/>
        <v>-5423367.4501038929</v>
      </c>
      <c r="P14" s="35">
        <f t="shared" si="4"/>
        <v>-1085627.245572753</v>
      </c>
      <c r="Q14" s="35"/>
      <c r="R14" s="35"/>
      <c r="S14" s="40">
        <f t="shared" si="8"/>
        <v>-0.69721368496234204</v>
      </c>
      <c r="T14" s="40"/>
      <c r="U14" s="40"/>
      <c r="V14" s="33">
        <v>1557094</v>
      </c>
      <c r="W14" s="42">
        <f t="shared" si="9"/>
        <v>1309299.8666666667</v>
      </c>
      <c r="X14" s="35">
        <f t="shared" si="10"/>
        <v>425827.05466880882</v>
      </c>
      <c r="Y14" s="33">
        <f t="shared" si="6"/>
        <v>1719794.7840394974</v>
      </c>
      <c r="Z14" s="46">
        <f>((V14-Y14)/V14)</f>
        <v>-0.1044900205379363</v>
      </c>
      <c r="AA14" s="51"/>
      <c r="AB14" s="51"/>
      <c r="AC14" s="33">
        <v>290977.04590818362</v>
      </c>
    </row>
    <row r="15" spans="1:29" s="33" customFormat="1" x14ac:dyDescent="0.25">
      <c r="A15" s="33" t="s">
        <v>46</v>
      </c>
      <c r="B15" s="33" t="s">
        <v>23</v>
      </c>
      <c r="C15" s="33" t="s">
        <v>175</v>
      </c>
      <c r="D15" s="33" t="s">
        <v>170</v>
      </c>
      <c r="E15" s="33">
        <v>30</v>
      </c>
      <c r="F15" s="34">
        <v>5.4</v>
      </c>
      <c r="G15" s="34">
        <f t="shared" si="2"/>
        <v>6.1800000000000006</v>
      </c>
      <c r="H15" s="33" t="s">
        <v>658</v>
      </c>
      <c r="I15" s="33">
        <v>4.3999999999999997E-2</v>
      </c>
      <c r="J15" s="40">
        <f>1955638.863 * EXP(1)^(0.00183 * 0.00001)*1000</f>
        <v>1955638898.7881913</v>
      </c>
      <c r="K15" s="40">
        <f>1955638.863 * EXP(1)^(0.00183 * 0.0001)*1000</f>
        <v>1955639220.8819444</v>
      </c>
      <c r="L15" s="40">
        <f t="shared" si="7"/>
        <v>-322.09375309944153</v>
      </c>
      <c r="M15" s="41">
        <v>1E-4</v>
      </c>
      <c r="N15" s="3">
        <f t="shared" si="1"/>
        <v>-3220937.5309944153</v>
      </c>
      <c r="O15" s="40">
        <f t="shared" si="5"/>
        <v>-3220945.5131150624</v>
      </c>
      <c r="P15" s="35">
        <f t="shared" si="4"/>
        <v>-521187.30274990533</v>
      </c>
      <c r="Q15" s="35"/>
      <c r="R15" s="35"/>
      <c r="S15" s="40">
        <f t="shared" si="8"/>
        <v>-0.26650486247712657</v>
      </c>
      <c r="T15" s="40"/>
      <c r="U15" s="40"/>
      <c r="V15" s="33">
        <v>1955639</v>
      </c>
      <c r="W15" s="42">
        <f t="shared" si="9"/>
        <v>1309299.8666666667</v>
      </c>
      <c r="X15" s="35">
        <f t="shared" si="10"/>
        <v>425827.05466880882</v>
      </c>
      <c r="Y15" s="33">
        <f t="shared" si="6"/>
        <v>2052267.1259298325</v>
      </c>
      <c r="Z15" s="46">
        <f t="shared" si="11"/>
        <v>-4.941000150325927E-2</v>
      </c>
      <c r="AA15" s="51"/>
      <c r="AB15" s="51"/>
      <c r="AC15" s="33">
        <v>257314.37125748501</v>
      </c>
    </row>
    <row r="16" spans="1:29" x14ac:dyDescent="0.25">
      <c r="A16" t="s">
        <v>47</v>
      </c>
      <c r="B16" t="s">
        <v>23</v>
      </c>
      <c r="C16" t="s">
        <v>175</v>
      </c>
      <c r="D16" t="s">
        <v>170</v>
      </c>
      <c r="E16">
        <v>30</v>
      </c>
      <c r="F16" s="5">
        <v>5.2380000000000004</v>
      </c>
      <c r="G16" s="5">
        <f t="shared" si="2"/>
        <v>5.9856000000000007</v>
      </c>
      <c r="H16" t="s">
        <v>659</v>
      </c>
      <c r="I16">
        <v>0.60399999999999998</v>
      </c>
      <c r="J16" s="3">
        <f>2241210.854 * EXP(1)^(-0.00981 * 0.00001)*1000</f>
        <v>2241210634.1372256</v>
      </c>
      <c r="K16" s="3">
        <f>2241210.854 * EXP(1)^(-0.00981 * 0.0001)*1000</f>
        <v>2241208655.3732305</v>
      </c>
      <c r="L16" s="3">
        <f t="shared" si="7"/>
        <v>1978.7639951705933</v>
      </c>
      <c r="M16" s="30">
        <v>1E-4</v>
      </c>
      <c r="N16" s="3">
        <f t="shared" si="1"/>
        <v>19787639.951705933</v>
      </c>
      <c r="O16" s="3">
        <f t="shared" si="5"/>
        <v>19787631.969585285</v>
      </c>
      <c r="P16" s="17">
        <f t="shared" si="4"/>
        <v>3305874.0897664279</v>
      </c>
      <c r="Q16" s="17">
        <f>AVERAGE(P16:P19)</f>
        <v>6087456.4012417905</v>
      </c>
      <c r="R16" s="17">
        <f>STDEV(P16:P19)</f>
        <v>2076309.4709214407</v>
      </c>
      <c r="S16" s="3">
        <f t="shared" si="8"/>
        <v>1.4750392041474132</v>
      </c>
      <c r="T16" s="3">
        <f>AVERAGE(S16:S19)</f>
        <v>2.7316477447021121</v>
      </c>
      <c r="U16" s="3">
        <f>STDEV(S16:S19)</f>
        <v>0.89713414993357687</v>
      </c>
      <c r="V16">
        <v>2241211</v>
      </c>
      <c r="W16" s="11">
        <f t="shared" si="9"/>
        <v>1309299.8666666667</v>
      </c>
      <c r="X16" s="17">
        <f t="shared" si="10"/>
        <v>425827.05466880882</v>
      </c>
      <c r="Y16">
        <f t="shared" si="6"/>
        <v>1647581.801448822</v>
      </c>
      <c r="Z16" s="45">
        <f t="shared" si="11"/>
        <v>0.26486983981034268</v>
      </c>
      <c r="AA16" s="50">
        <v>0.26</v>
      </c>
      <c r="AC16">
        <v>287501.99600798404</v>
      </c>
    </row>
    <row r="17" spans="1:29" x14ac:dyDescent="0.25">
      <c r="A17" t="s">
        <v>48</v>
      </c>
      <c r="B17" t="s">
        <v>23</v>
      </c>
      <c r="C17" t="s">
        <v>175</v>
      </c>
      <c r="D17" t="s">
        <v>170</v>
      </c>
      <c r="E17">
        <v>60</v>
      </c>
      <c r="F17" s="5">
        <v>4.8049999999999997</v>
      </c>
      <c r="G17" s="5">
        <f t="shared" si="2"/>
        <v>5.4659999999999993</v>
      </c>
      <c r="H17" t="s">
        <v>660</v>
      </c>
      <c r="I17">
        <v>0.85799999999999998</v>
      </c>
      <c r="J17" s="3">
        <f>2179579.471 * EXP(1)^(-0.01718 * 0.00001)*1000</f>
        <v>2179579096.5482793</v>
      </c>
      <c r="K17" s="3">
        <f>2179579.471 * EXP(1)^(-0.01718 * 0.0001)*1000</f>
        <v>2179575726.4856853</v>
      </c>
      <c r="L17" s="3">
        <f t="shared" si="7"/>
        <v>3370.0625939369202</v>
      </c>
      <c r="M17" s="30">
        <v>1E-4</v>
      </c>
      <c r="N17" s="3">
        <f t="shared" si="1"/>
        <v>33700625.939369202</v>
      </c>
      <c r="O17" s="3">
        <f t="shared" si="5"/>
        <v>33700617.957248554</v>
      </c>
      <c r="P17" s="17">
        <f t="shared" si="4"/>
        <v>6165500.5377550684</v>
      </c>
      <c r="S17" s="3">
        <f t="shared" si="8"/>
        <v>2.8287575434315841</v>
      </c>
      <c r="V17">
        <v>2179579</v>
      </c>
      <c r="W17" s="11">
        <f t="shared" si="9"/>
        <v>1309299.8666666667</v>
      </c>
      <c r="X17" s="17">
        <f t="shared" si="10"/>
        <v>425827.05466880882</v>
      </c>
      <c r="Y17">
        <f t="shared" si="6"/>
        <v>157541.4436378479</v>
      </c>
      <c r="Z17" s="45">
        <f t="shared" si="11"/>
        <v>0.92771932394382217</v>
      </c>
      <c r="AA17" s="50">
        <f>AVERAGE(Z17:Z19)</f>
        <v>0.95399916943647389</v>
      </c>
      <c r="AB17" s="50">
        <f>STDEV(Z17:Z19)</f>
        <v>3.329343896709186E-2</v>
      </c>
      <c r="AC17">
        <v>272574.54191616771</v>
      </c>
    </row>
    <row r="18" spans="1:29" x14ac:dyDescent="0.25">
      <c r="A18" t="s">
        <v>49</v>
      </c>
      <c r="B18" t="s">
        <v>23</v>
      </c>
      <c r="C18" t="s">
        <v>175</v>
      </c>
      <c r="D18" t="s">
        <v>170</v>
      </c>
      <c r="E18">
        <v>60</v>
      </c>
      <c r="F18" s="5">
        <v>4.5659999999999998</v>
      </c>
      <c r="G18" s="5">
        <f t="shared" si="2"/>
        <v>5.1791999999999998</v>
      </c>
      <c r="H18" t="s">
        <v>661</v>
      </c>
      <c r="I18">
        <v>0.95699999999999996</v>
      </c>
      <c r="J18" s="3">
        <f>2163130.449 * EXP(1)^(-0.01746 * 0.00001)*1000</f>
        <v>2163130071.3174567</v>
      </c>
      <c r="K18" s="3">
        <f>2163130.449 * EXP(1)^(-0.01746 * 0.0001)*1000</f>
        <v>2163126672.1775331</v>
      </c>
      <c r="L18" s="3">
        <f t="shared" si="7"/>
        <v>3399.1399235725403</v>
      </c>
      <c r="M18" s="30">
        <v>1E-4</v>
      </c>
      <c r="N18" s="3">
        <f t="shared" si="1"/>
        <v>33991399.235725403</v>
      </c>
      <c r="O18" s="3">
        <f t="shared" si="5"/>
        <v>33991391.253604755</v>
      </c>
      <c r="P18" s="17">
        <f t="shared" si="4"/>
        <v>6563059.7844696874</v>
      </c>
      <c r="S18" s="3">
        <f t="shared" si="8"/>
        <v>3.0340570305389356</v>
      </c>
      <c r="V18">
        <v>2163130</v>
      </c>
      <c r="W18" s="11">
        <f t="shared" si="9"/>
        <v>1309299.8666666667</v>
      </c>
      <c r="X18" s="17">
        <f t="shared" si="10"/>
        <v>425827.05466880882</v>
      </c>
      <c r="Y18">
        <f t="shared" si="6"/>
        <v>123646.04585647583</v>
      </c>
      <c r="Z18" s="45">
        <f t="shared" si="11"/>
        <v>0.94283929035403524</v>
      </c>
      <c r="AC18">
        <v>216228.06586826348</v>
      </c>
    </row>
    <row r="19" spans="1:29" x14ac:dyDescent="0.25">
      <c r="A19" t="s">
        <v>50</v>
      </c>
      <c r="B19" t="s">
        <v>23</v>
      </c>
      <c r="C19" t="s">
        <v>175</v>
      </c>
      <c r="D19" t="s">
        <v>170</v>
      </c>
      <c r="E19">
        <v>60</v>
      </c>
      <c r="F19" s="5">
        <v>4.0869999999999997</v>
      </c>
      <c r="G19" s="5">
        <f t="shared" si="2"/>
        <v>4.6044</v>
      </c>
      <c r="H19" t="s">
        <v>662</v>
      </c>
      <c r="I19">
        <v>0.86499999999999999</v>
      </c>
      <c r="J19" s="3">
        <f>2317079.755 * EXP(1)^(-0.01836 * 0.00001)*1000</f>
        <v>2317079329.5841961</v>
      </c>
      <c r="K19" s="3">
        <f>2317079.755 * EXP(1)^(-0.01836 * 0.0001)*1000</f>
        <v>2317075500.8454752</v>
      </c>
      <c r="L19" s="3">
        <f t="shared" si="7"/>
        <v>3828.7387208938599</v>
      </c>
      <c r="M19" s="30">
        <v>1E-4</v>
      </c>
      <c r="N19" s="3">
        <f t="shared" si="1"/>
        <v>38287387.208938599</v>
      </c>
      <c r="O19" s="3">
        <f t="shared" si="5"/>
        <v>38287379.226817951</v>
      </c>
      <c r="P19" s="17">
        <f t="shared" si="4"/>
        <v>8315391.1929759793</v>
      </c>
      <c r="S19" s="3">
        <f t="shared" si="8"/>
        <v>3.5887372006905154</v>
      </c>
      <c r="V19">
        <v>2317080</v>
      </c>
      <c r="W19" s="11">
        <f t="shared" si="9"/>
        <v>1309299.8666666667</v>
      </c>
      <c r="X19" s="17">
        <f t="shared" si="10"/>
        <v>425827.05466880882</v>
      </c>
      <c r="Y19">
        <f t="shared" si="6"/>
        <v>19836.767463684082</v>
      </c>
      <c r="Z19" s="45">
        <f t="shared" si="11"/>
        <v>0.99143889401156449</v>
      </c>
      <c r="AC19">
        <v>274154.49786141998</v>
      </c>
    </row>
    <row r="20" spans="1:29" s="33" customFormat="1" x14ac:dyDescent="0.25">
      <c r="A20" s="33" t="s">
        <v>33</v>
      </c>
      <c r="B20" s="33" t="s">
        <v>21</v>
      </c>
      <c r="C20" s="33" t="s">
        <v>408</v>
      </c>
      <c r="D20" s="33" t="s">
        <v>172</v>
      </c>
      <c r="E20" s="33">
        <v>30</v>
      </c>
      <c r="F20" s="34">
        <v>6.65</v>
      </c>
      <c r="G20" s="34">
        <f t="shared" si="2"/>
        <v>7.6800000000000006</v>
      </c>
      <c r="H20" s="33" t="s">
        <v>675</v>
      </c>
      <c r="I20" s="33">
        <v>2.7E-2</v>
      </c>
      <c r="J20" s="40">
        <f>1049157.938 * EXP(1)^(0.00363 * 0.00001)*1000</f>
        <v>1049157976.0844337</v>
      </c>
      <c r="K20" s="40">
        <f>1049157.938 * EXP(1)^(0.00363 * 0.0001)*1000</f>
        <v>1049158318.8444005</v>
      </c>
      <c r="L20" s="40">
        <f t="shared" si="7"/>
        <v>-342.75996685028076</v>
      </c>
      <c r="M20" s="41">
        <v>1E-4</v>
      </c>
      <c r="N20" s="3">
        <f t="shared" si="1"/>
        <v>-3427599.6685028076</v>
      </c>
      <c r="O20" s="40">
        <f t="shared" si="5"/>
        <v>-3427607.6506234547</v>
      </c>
      <c r="P20" s="35">
        <f t="shared" si="4"/>
        <v>-446302.04016963637</v>
      </c>
      <c r="Q20" s="35"/>
      <c r="R20" s="35"/>
      <c r="S20" s="40">
        <f t="shared" si="8"/>
        <v>-0.42539068488219733</v>
      </c>
      <c r="T20" s="40"/>
      <c r="U20" s="40"/>
      <c r="V20" s="33">
        <v>1049158</v>
      </c>
      <c r="W20" s="42">
        <f t="shared" si="9"/>
        <v>1309299.8666666667</v>
      </c>
      <c r="X20" s="35">
        <f t="shared" si="10"/>
        <v>425827.05466880882</v>
      </c>
      <c r="Y20" s="33">
        <f t="shared" si="6"/>
        <v>1151985.9900550842</v>
      </c>
      <c r="Z20" s="46">
        <f t="shared" si="11"/>
        <v>-9.8010013796858267E-2</v>
      </c>
      <c r="AA20" s="51"/>
      <c r="AB20" s="51"/>
      <c r="AC20" s="33">
        <v>189271.85628742518</v>
      </c>
    </row>
    <row r="21" spans="1:29" x14ac:dyDescent="0.25">
      <c r="A21" t="s">
        <v>34</v>
      </c>
      <c r="B21" t="s">
        <v>21</v>
      </c>
      <c r="C21" t="s">
        <v>408</v>
      </c>
      <c r="D21" t="s">
        <v>172</v>
      </c>
      <c r="E21">
        <v>30</v>
      </c>
      <c r="F21" s="5">
        <v>5.1870000000000003</v>
      </c>
      <c r="G21" s="5">
        <f t="shared" si="2"/>
        <v>5.9244000000000003</v>
      </c>
      <c r="H21" t="s">
        <v>676</v>
      </c>
      <c r="I21">
        <v>0.60699999999999998</v>
      </c>
      <c r="J21" s="3">
        <f>1329508.545 * EXP(1)^(-0.00413 * 0.00001)*1000</f>
        <v>1329508490.0912983</v>
      </c>
      <c r="K21" s="3">
        <f>1329508.545 * EXP(1)^(-0.00413 * 0.0001)*1000</f>
        <v>1329507995.913084</v>
      </c>
      <c r="L21" s="3">
        <f t="shared" si="7"/>
        <v>494.17821431159973</v>
      </c>
      <c r="M21" s="30">
        <v>1E-4</v>
      </c>
      <c r="N21" s="3">
        <f t="shared" si="1"/>
        <v>4941782.1431159973</v>
      </c>
      <c r="O21" s="3">
        <f t="shared" si="5"/>
        <v>4941774.1609953502</v>
      </c>
      <c r="P21" s="17">
        <f t="shared" si="4"/>
        <v>834140.52783674246</v>
      </c>
      <c r="Q21" s="17">
        <f>AVERAGE(P21:P25)</f>
        <v>2657570.7130743302</v>
      </c>
      <c r="R21" s="17">
        <f>STDEV(P21:P25)</f>
        <v>1501780.6597662461</v>
      </c>
      <c r="S21" s="3">
        <f t="shared" si="8"/>
        <v>0.62740495012575503</v>
      </c>
      <c r="T21" s="3">
        <f>AVERAGE(S21:S25)</f>
        <v>1.9594514719321854</v>
      </c>
      <c r="U21" s="3">
        <f>STDEV(S21:S25)</f>
        <v>1.1140187322323214</v>
      </c>
      <c r="V21">
        <v>1329509</v>
      </c>
      <c r="W21" s="11">
        <f t="shared" si="9"/>
        <v>1309299.8666666667</v>
      </c>
      <c r="X21" s="17">
        <f t="shared" si="10"/>
        <v>425827.05466880882</v>
      </c>
      <c r="Y21">
        <f t="shared" si="6"/>
        <v>1181255.5357065201</v>
      </c>
      <c r="Z21" s="45">
        <f t="shared" si="11"/>
        <v>0.1115099365957507</v>
      </c>
      <c r="AA21" s="50">
        <f>AVERAGE(Z21:Z22)</f>
        <v>0.23719484667139587</v>
      </c>
      <c r="AB21" s="50">
        <f>STDEV(Z21:Z22)</f>
        <v>0.17774530441462022</v>
      </c>
      <c r="AC21">
        <v>197682.63473053894</v>
      </c>
    </row>
    <row r="22" spans="1:29" x14ac:dyDescent="0.25">
      <c r="A22" t="s">
        <v>35</v>
      </c>
      <c r="B22" t="s">
        <v>21</v>
      </c>
      <c r="C22" t="s">
        <v>408</v>
      </c>
      <c r="D22" t="s">
        <v>172</v>
      </c>
      <c r="E22">
        <v>30</v>
      </c>
      <c r="F22" s="5">
        <v>7.8719999999999999</v>
      </c>
      <c r="G22" s="5">
        <f t="shared" si="2"/>
        <v>9.1463999999999981</v>
      </c>
      <c r="H22" t="s">
        <v>677</v>
      </c>
      <c r="I22">
        <v>0.72899999999999998</v>
      </c>
      <c r="J22" s="3">
        <f>1381605.095 * EXP(1)^(-0.01344 * 0.00001)*1000</f>
        <v>1381604909.3122876</v>
      </c>
      <c r="K22" s="3">
        <f>1381605.095 * EXP(1)^(-0.01344 * 0.0001)*1000</f>
        <v>1381603238.1239998</v>
      </c>
      <c r="L22" s="3">
        <f t="shared" si="7"/>
        <v>1671.1882877349854</v>
      </c>
      <c r="M22" s="30">
        <v>1E-4</v>
      </c>
      <c r="N22" s="3">
        <f t="shared" si="1"/>
        <v>16711882.877349854</v>
      </c>
      <c r="O22" s="3">
        <f t="shared" si="5"/>
        <v>16711874.895229205</v>
      </c>
      <c r="P22" s="17">
        <f t="shared" si="4"/>
        <v>1827154.1674702459</v>
      </c>
      <c r="S22" s="3">
        <f t="shared" si="8"/>
        <v>1.3224866495635481</v>
      </c>
      <c r="V22">
        <v>1381605</v>
      </c>
      <c r="W22" s="11">
        <f t="shared" si="9"/>
        <v>1309299.8666666667</v>
      </c>
      <c r="X22" s="17">
        <f t="shared" si="10"/>
        <v>425827.05466880882</v>
      </c>
      <c r="Y22">
        <f t="shared" si="6"/>
        <v>880248.51367950439</v>
      </c>
      <c r="Z22" s="45">
        <f t="shared" si="11"/>
        <v>0.36287975674704104</v>
      </c>
      <c r="AC22">
        <v>205179.64071856285</v>
      </c>
    </row>
    <row r="23" spans="1:29" x14ac:dyDescent="0.25">
      <c r="A23" t="s">
        <v>36</v>
      </c>
      <c r="B23" t="s">
        <v>21</v>
      </c>
      <c r="C23" t="s">
        <v>408</v>
      </c>
      <c r="D23" t="s">
        <v>172</v>
      </c>
      <c r="E23">
        <v>60</v>
      </c>
      <c r="F23" s="5">
        <v>5.3280000000000003</v>
      </c>
      <c r="G23" s="5">
        <f t="shared" si="2"/>
        <v>6.0936000000000003</v>
      </c>
      <c r="H23" t="s">
        <v>678</v>
      </c>
      <c r="I23">
        <v>0.78600000000000003</v>
      </c>
      <c r="J23" s="3">
        <f>1355413.973 * EXP(1)^(-0.01212 * 0.00001)*1000</f>
        <v>1355413808.7238364</v>
      </c>
      <c r="K23" s="3">
        <f>1355413.973 * EXP(1)^(-0.01212 * 0.0001)*1000</f>
        <v>1355412330.2392604</v>
      </c>
      <c r="L23" s="3">
        <f t="shared" si="7"/>
        <v>1478.4845759868622</v>
      </c>
      <c r="M23" s="30">
        <v>1E-4</v>
      </c>
      <c r="N23" s="3">
        <f t="shared" si="1"/>
        <v>14784845.759868622</v>
      </c>
      <c r="O23" s="3">
        <f t="shared" si="5"/>
        <v>14784837.777747974</v>
      </c>
      <c r="P23" s="17">
        <f t="shared" si="4"/>
        <v>2426290.8231371637</v>
      </c>
      <c r="S23" s="3">
        <f t="shared" si="8"/>
        <v>1.790073603443054</v>
      </c>
      <c r="V23">
        <v>1355414</v>
      </c>
      <c r="W23" s="11">
        <f t="shared" si="9"/>
        <v>1309299.8666666667</v>
      </c>
      <c r="X23" s="17">
        <f t="shared" si="10"/>
        <v>425827.05466880882</v>
      </c>
      <c r="Y23">
        <f t="shared" si="6"/>
        <v>468323.25440788269</v>
      </c>
      <c r="Z23" s="45">
        <f t="shared" si="11"/>
        <v>0.6544795505964357</v>
      </c>
      <c r="AA23" s="50">
        <f>AVERAGE(Z23:Z25)</f>
        <v>0.83447924439102339</v>
      </c>
      <c r="AB23" s="50">
        <f>STDEV(Z23:Z25)</f>
        <v>0.15594414986706312</v>
      </c>
      <c r="AC23">
        <v>171410.5613772455</v>
      </c>
    </row>
    <row r="24" spans="1:29" x14ac:dyDescent="0.25">
      <c r="A24" t="s">
        <v>37</v>
      </c>
      <c r="B24" t="s">
        <v>21</v>
      </c>
      <c r="C24" t="s">
        <v>408</v>
      </c>
      <c r="D24" t="s">
        <v>172</v>
      </c>
      <c r="E24">
        <v>60</v>
      </c>
      <c r="F24" s="5">
        <v>3.8879999999999999</v>
      </c>
      <c r="G24" s="5">
        <f t="shared" si="2"/>
        <v>4.3655999999999997</v>
      </c>
      <c r="H24" t="s">
        <v>679</v>
      </c>
      <c r="I24">
        <v>0.88600000000000001</v>
      </c>
      <c r="J24" s="3">
        <f>1346229.245 * EXP(1)^(-0.01704 * 0.00001)*1000</f>
        <v>1346229015.6025562</v>
      </c>
      <c r="K24" s="3">
        <f>1346229.245 * EXP(1)^(-0.01704 * 0.0001)*1000</f>
        <v>1346226951.0273211</v>
      </c>
      <c r="L24" s="3">
        <f t="shared" si="7"/>
        <v>2064.5752351284027</v>
      </c>
      <c r="M24" s="30">
        <v>1E-4</v>
      </c>
      <c r="N24" s="3">
        <f t="shared" si="1"/>
        <v>20645752.351284027</v>
      </c>
      <c r="O24" s="3">
        <f t="shared" si="5"/>
        <v>20645744.369163379</v>
      </c>
      <c r="P24" s="17">
        <f t="shared" si="4"/>
        <v>4729190.1116190283</v>
      </c>
      <c r="S24" s="3">
        <f t="shared" si="8"/>
        <v>3.5129165332339656</v>
      </c>
      <c r="V24">
        <v>1346229</v>
      </c>
      <c r="W24" s="11">
        <f t="shared" si="9"/>
        <v>1309299.8666666667</v>
      </c>
      <c r="X24" s="17">
        <f t="shared" si="10"/>
        <v>425827.05466880882</v>
      </c>
      <c r="Y24">
        <f t="shared" si="6"/>
        <v>107483.85892295837</v>
      </c>
      <c r="Z24" s="45">
        <f t="shared" si="11"/>
        <v>0.92015930504917187</v>
      </c>
      <c r="AC24">
        <v>153956.27544910181</v>
      </c>
    </row>
    <row r="25" spans="1:29" x14ac:dyDescent="0.25">
      <c r="A25" t="s">
        <v>38</v>
      </c>
      <c r="B25" t="s">
        <v>21</v>
      </c>
      <c r="C25" t="s">
        <v>408</v>
      </c>
      <c r="D25" t="s">
        <v>172</v>
      </c>
      <c r="E25">
        <v>60</v>
      </c>
      <c r="F25" s="5">
        <v>5.32</v>
      </c>
      <c r="G25" s="5">
        <f t="shared" si="2"/>
        <v>6.0840000000000005</v>
      </c>
      <c r="H25" t="s">
        <v>680</v>
      </c>
      <c r="I25">
        <v>0.88800000000000001</v>
      </c>
      <c r="J25" s="3">
        <f>1364215.642 * EXP(1)^(-0.0172 * 0.00001)*1000</f>
        <v>1364215407.3549294</v>
      </c>
      <c r="K25" s="3">
        <f>1364215.642 * EXP(1)^(-0.0172 * 0.0001)*1000</f>
        <v>1364213295.5511136</v>
      </c>
      <c r="L25" s="3">
        <f t="shared" si="7"/>
        <v>2111.8038158416748</v>
      </c>
      <c r="M25" s="30">
        <v>1E-4</v>
      </c>
      <c r="N25" s="3">
        <f t="shared" si="1"/>
        <v>21118038.158416748</v>
      </c>
      <c r="O25" s="3">
        <f t="shared" si="5"/>
        <v>21118030.1762961</v>
      </c>
      <c r="P25" s="17">
        <f t="shared" si="4"/>
        <v>3471077.9353084723</v>
      </c>
      <c r="S25" s="3">
        <f t="shared" si="8"/>
        <v>2.5443756232946044</v>
      </c>
      <c r="V25">
        <v>1364216</v>
      </c>
      <c r="W25" s="11">
        <f t="shared" si="9"/>
        <v>1309299.8666666667</v>
      </c>
      <c r="X25" s="17">
        <f t="shared" si="10"/>
        <v>425827.05466880882</v>
      </c>
      <c r="Y25">
        <f t="shared" si="6"/>
        <v>97133.710494995117</v>
      </c>
      <c r="Z25" s="45">
        <f t="shared" si="11"/>
        <v>0.9287988775274626</v>
      </c>
      <c r="AC25">
        <v>168240.66167664671</v>
      </c>
    </row>
    <row r="26" spans="1:29" x14ac:dyDescent="0.25">
      <c r="A26" t="s">
        <v>26</v>
      </c>
      <c r="B26" t="s">
        <v>101</v>
      </c>
      <c r="C26" t="s">
        <v>408</v>
      </c>
      <c r="D26" t="s">
        <v>172</v>
      </c>
      <c r="E26">
        <v>30</v>
      </c>
      <c r="F26" s="5">
        <v>6.5270000000000001</v>
      </c>
      <c r="G26" s="5">
        <f t="shared" si="2"/>
        <v>7.5324</v>
      </c>
      <c r="H26" s="31" t="s">
        <v>663</v>
      </c>
      <c r="I26">
        <v>0.312</v>
      </c>
      <c r="J26" s="3">
        <f>985075.477 * EXP(1)^(-0.00588 * 0.00001)*1000</f>
        <v>985075419.07756352</v>
      </c>
      <c r="K26" s="3">
        <f>985075.477 * EXP(1)^(-0.00588 * 0.0001)*1000</f>
        <v>985074897.77578986</v>
      </c>
      <c r="L26" s="3">
        <f t="shared" si="7"/>
        <v>521.30177366733551</v>
      </c>
      <c r="M26" s="30">
        <v>1E-4</v>
      </c>
      <c r="N26" s="3">
        <f t="shared" si="1"/>
        <v>5213017.7366733551</v>
      </c>
      <c r="O26" s="3">
        <f t="shared" si="5"/>
        <v>5213009.754552708</v>
      </c>
      <c r="P26" s="17">
        <f t="shared" si="4"/>
        <v>692079.2491999038</v>
      </c>
      <c r="Q26" s="17">
        <f>AVERAGE(P26:P31)</f>
        <v>1477472.6133860862</v>
      </c>
      <c r="R26" s="17">
        <f>STDEV(P26:P31)</f>
        <v>696024.83593284211</v>
      </c>
      <c r="S26" s="3">
        <f t="shared" si="8"/>
        <v>0.70256503230708711</v>
      </c>
      <c r="T26" s="3">
        <f>AVERAGE(S26:S31)</f>
        <v>1.3471203480792522</v>
      </c>
      <c r="U26" s="3">
        <f>STDEV(S26:S31)</f>
        <v>0.58573280354183754</v>
      </c>
      <c r="V26">
        <v>985075</v>
      </c>
      <c r="W26" s="11">
        <f t="shared" si="9"/>
        <v>1309299.8666666667</v>
      </c>
      <c r="X26" s="17">
        <f t="shared" si="10"/>
        <v>425827.05466880882</v>
      </c>
      <c r="Y26">
        <f t="shared" si="6"/>
        <v>828684.46789979935</v>
      </c>
      <c r="Z26" s="45">
        <f t="shared" si="11"/>
        <v>0.15876002548049709</v>
      </c>
      <c r="AA26" s="50">
        <f>AVERAGE(Z26:Z28)</f>
        <v>0.16154997920528025</v>
      </c>
      <c r="AB26" s="50">
        <f>STDEV(Z26:Z28)</f>
        <v>7.2966038536896802E-3</v>
      </c>
      <c r="AC26">
        <v>17423.153692614771</v>
      </c>
    </row>
    <row r="27" spans="1:29" x14ac:dyDescent="0.25">
      <c r="A27" t="s">
        <v>27</v>
      </c>
      <c r="B27" t="s">
        <v>101</v>
      </c>
      <c r="C27" t="s">
        <v>408</v>
      </c>
      <c r="D27" t="s">
        <v>172</v>
      </c>
      <c r="E27">
        <v>30</v>
      </c>
      <c r="F27" s="5">
        <v>6.36</v>
      </c>
      <c r="G27" s="5">
        <f t="shared" si="2"/>
        <v>7.3319999999999999</v>
      </c>
      <c r="H27" t="s">
        <v>664</v>
      </c>
      <c r="I27">
        <v>0.40799999999999997</v>
      </c>
      <c r="J27" s="3">
        <f>993636.798 * EXP(1)^(-0.00629 * 0.00001)*1000</f>
        <v>993636735.50024748</v>
      </c>
      <c r="K27" s="3">
        <f>993636.798 * EXP(1)^(-0.00629 * 0.0001)*1000</f>
        <v>993636173.0026505</v>
      </c>
      <c r="L27" s="3">
        <f t="shared" si="7"/>
        <v>562.49759697914124</v>
      </c>
      <c r="M27" s="30">
        <v>1E-4</v>
      </c>
      <c r="N27" s="3">
        <f t="shared" si="1"/>
        <v>5624975.9697914124</v>
      </c>
      <c r="O27" s="3">
        <f t="shared" si="5"/>
        <v>5624967.9876707653</v>
      </c>
      <c r="P27" s="17">
        <f t="shared" si="4"/>
        <v>767181.66527433344</v>
      </c>
      <c r="S27" s="3">
        <f t="shared" si="8"/>
        <v>0.7720945025943412</v>
      </c>
      <c r="V27">
        <v>993637</v>
      </c>
      <c r="W27" s="11">
        <f t="shared" si="9"/>
        <v>1309299.8666666667</v>
      </c>
      <c r="X27" s="17">
        <f t="shared" si="10"/>
        <v>425827.05466880882</v>
      </c>
      <c r="Y27">
        <f t="shared" si="6"/>
        <v>824887.72090625763</v>
      </c>
      <c r="Z27" s="45">
        <f t="shared" si="11"/>
        <v>0.1698299067906513</v>
      </c>
      <c r="AC27">
        <v>16873.253493013974</v>
      </c>
    </row>
    <row r="28" spans="1:29" x14ac:dyDescent="0.25">
      <c r="A28" t="s">
        <v>28</v>
      </c>
      <c r="B28" t="s">
        <v>101</v>
      </c>
      <c r="C28" t="s">
        <v>408</v>
      </c>
      <c r="D28" t="s">
        <v>172</v>
      </c>
      <c r="E28">
        <v>30</v>
      </c>
      <c r="F28" s="5">
        <v>3.12</v>
      </c>
      <c r="G28" s="5">
        <f t="shared" si="2"/>
        <v>3.444</v>
      </c>
      <c r="H28" t="s">
        <v>665</v>
      </c>
      <c r="I28">
        <v>0.34499999999999997</v>
      </c>
      <c r="J28" s="3">
        <f>1076705.379 * EXP(1)^(-0.00578 * 0.00001)*1000</f>
        <v>1076705316.7664309</v>
      </c>
      <c r="K28" s="3">
        <f>1076705.379 * EXP(1)^(-0.00578 * 0.0001)*1000</f>
        <v>1076704756.6644707</v>
      </c>
      <c r="L28" s="3">
        <f t="shared" si="7"/>
        <v>560.10196018218994</v>
      </c>
      <c r="M28" s="30">
        <v>1E-4</v>
      </c>
      <c r="N28" s="3">
        <f t="shared" si="1"/>
        <v>5601019.6018218994</v>
      </c>
      <c r="O28" s="3">
        <f t="shared" si="5"/>
        <v>5601011.6197012523</v>
      </c>
      <c r="P28" s="17">
        <f t="shared" si="4"/>
        <v>1626312.3117949767</v>
      </c>
      <c r="S28" s="3">
        <f t="shared" si="8"/>
        <v>1.510453013401978</v>
      </c>
      <c r="V28">
        <v>1076705</v>
      </c>
      <c r="W28" s="11">
        <f t="shared" si="9"/>
        <v>1309299.8666666667</v>
      </c>
      <c r="X28" s="17">
        <f t="shared" si="10"/>
        <v>425827.05466880882</v>
      </c>
      <c r="Y28">
        <f t="shared" si="6"/>
        <v>908674.41194534302</v>
      </c>
      <c r="Z28" s="45">
        <f t="shared" si="11"/>
        <v>0.15606000534469236</v>
      </c>
      <c r="AC28">
        <v>17713.572854291418</v>
      </c>
    </row>
    <row r="29" spans="1:29" x14ac:dyDescent="0.25">
      <c r="A29" t="s">
        <v>29</v>
      </c>
      <c r="B29" t="s">
        <v>101</v>
      </c>
      <c r="C29" t="s">
        <v>408</v>
      </c>
      <c r="D29" t="s">
        <v>172</v>
      </c>
      <c r="E29">
        <v>60</v>
      </c>
      <c r="F29" s="5">
        <v>4.4240000000000004</v>
      </c>
      <c r="G29" s="5">
        <f t="shared" si="2"/>
        <v>5.0088000000000008</v>
      </c>
      <c r="H29" t="s">
        <v>666</v>
      </c>
      <c r="I29">
        <v>0.91500000000000004</v>
      </c>
      <c r="J29" s="3">
        <f>1147028.281 * EXP(1)^(-0.01022 * 0.00001)*1000</f>
        <v>1147028163.7737157</v>
      </c>
      <c r="K29" s="3">
        <f>1147028.281 * EXP(1)^(-0.01022 * 0.0001)*1000</f>
        <v>1147027108.7376959</v>
      </c>
      <c r="L29" s="3">
        <f t="shared" si="7"/>
        <v>1055.0360198020935</v>
      </c>
      <c r="M29" s="30">
        <v>1E-4</v>
      </c>
      <c r="N29" s="3">
        <f t="shared" si="1"/>
        <v>10550360.198020935</v>
      </c>
      <c r="O29" s="3">
        <f t="shared" si="5"/>
        <v>10550352.215900287</v>
      </c>
      <c r="P29" s="17">
        <f t="shared" si="4"/>
        <v>2106364.8374902038</v>
      </c>
      <c r="S29" s="3">
        <f t="shared" si="8"/>
        <v>1.8363674099413474</v>
      </c>
      <c r="V29">
        <v>1147028</v>
      </c>
      <c r="W29" s="11">
        <f t="shared" si="9"/>
        <v>1309299.8666666667</v>
      </c>
      <c r="X29" s="17">
        <f t="shared" si="10"/>
        <v>425827.05466880882</v>
      </c>
      <c r="Y29">
        <f t="shared" si="6"/>
        <v>514006.3881187439</v>
      </c>
      <c r="Z29" s="45">
        <f t="shared" si="11"/>
        <v>0.55187982497485333</v>
      </c>
      <c r="AA29" s="50">
        <f>AVERAGE(Z29:Z31)</f>
        <v>0.68885947039260387</v>
      </c>
      <c r="AB29" s="50">
        <f>STDEV(Z29:Z31)</f>
        <v>0.1915455453427802</v>
      </c>
      <c r="AC29">
        <v>19322.72155688623</v>
      </c>
    </row>
    <row r="30" spans="1:29" x14ac:dyDescent="0.25">
      <c r="A30" t="s">
        <v>30</v>
      </c>
      <c r="B30" t="s">
        <v>101</v>
      </c>
      <c r="C30" t="s">
        <v>408</v>
      </c>
      <c r="D30" t="s">
        <v>172</v>
      </c>
      <c r="E30">
        <v>60</v>
      </c>
      <c r="F30" s="5">
        <v>6.11</v>
      </c>
      <c r="G30" s="5">
        <f t="shared" si="2"/>
        <v>7.032</v>
      </c>
      <c r="H30" t="s">
        <v>667</v>
      </c>
      <c r="I30">
        <v>0.95399999999999996</v>
      </c>
      <c r="J30" s="3">
        <f>1113526.066 * EXP(1)^(-0.01681 * 0.00001)*1000</f>
        <v>1113525878.8162842</v>
      </c>
      <c r="K30" s="3">
        <f>1113526.066 * EXP(1)^(-0.01681 * 0.0001)*1000</f>
        <v>1113524194.1642563</v>
      </c>
      <c r="L30" s="3">
        <f t="shared" si="7"/>
        <v>1684.6520278453827</v>
      </c>
      <c r="M30" s="30">
        <v>1E-4</v>
      </c>
      <c r="N30" s="3">
        <f t="shared" si="1"/>
        <v>16846520.278453827</v>
      </c>
      <c r="O30" s="3">
        <f t="shared" si="5"/>
        <v>16846512.296333179</v>
      </c>
      <c r="P30" s="17">
        <f t="shared" si="4"/>
        <v>2395694.0100190309</v>
      </c>
      <c r="S30" s="3">
        <f t="shared" si="8"/>
        <v>2.1514486505200874</v>
      </c>
      <c r="V30">
        <v>1113526</v>
      </c>
      <c r="W30" s="11">
        <f t="shared" si="9"/>
        <v>1309299.8666666667</v>
      </c>
      <c r="X30" s="17">
        <f t="shared" si="10"/>
        <v>425827.05466880882</v>
      </c>
      <c r="Y30">
        <f t="shared" si="6"/>
        <v>102734.78329277039</v>
      </c>
      <c r="Z30" s="45">
        <f t="shared" si="11"/>
        <v>0.90773921462743534</v>
      </c>
      <c r="AC30">
        <v>24104.181137724554</v>
      </c>
    </row>
    <row r="31" spans="1:29" x14ac:dyDescent="0.25">
      <c r="A31" t="s">
        <v>31</v>
      </c>
      <c r="B31" t="s">
        <v>101</v>
      </c>
      <c r="C31" t="s">
        <v>408</v>
      </c>
      <c r="D31" t="s">
        <v>172</v>
      </c>
      <c r="E31">
        <v>60</v>
      </c>
      <c r="F31" s="5">
        <v>7.8460000000000001</v>
      </c>
      <c r="G31" s="5">
        <f t="shared" si="2"/>
        <v>9.1151999999999997</v>
      </c>
      <c r="H31" t="s">
        <v>668</v>
      </c>
      <c r="I31">
        <v>0.91100000000000003</v>
      </c>
      <c r="J31" s="3">
        <f>1150847.52 * EXP(1)^(-0.01124 * 0.00001)*1000</f>
        <v>1150847390.6447458</v>
      </c>
      <c r="K31" s="3">
        <f>1150847.52 * EXP(1)^(-0.01124 * 0.0001)*1000</f>
        <v>1150846226.4481144</v>
      </c>
      <c r="L31" s="3">
        <f t="shared" si="7"/>
        <v>1164.1966314315796</v>
      </c>
      <c r="M31" s="30">
        <v>1E-4</v>
      </c>
      <c r="N31" s="3">
        <f t="shared" si="1"/>
        <v>11641966.314315796</v>
      </c>
      <c r="O31" s="3">
        <f t="shared" si="5"/>
        <v>11641958.332195148</v>
      </c>
      <c r="P31" s="17">
        <f t="shared" si="4"/>
        <v>1277203.6065380678</v>
      </c>
      <c r="S31" s="3">
        <f t="shared" si="8"/>
        <v>1.1097934797106723</v>
      </c>
      <c r="V31">
        <v>1150848</v>
      </c>
      <c r="W31" s="11">
        <f t="shared" si="9"/>
        <v>1309299.8666666667</v>
      </c>
      <c r="X31" s="17">
        <f t="shared" si="10"/>
        <v>425827.05466880882</v>
      </c>
      <c r="Y31">
        <f t="shared" si="6"/>
        <v>452330.02114105225</v>
      </c>
      <c r="Z31" s="45">
        <f t="shared" si="11"/>
        <v>0.60695937157552327</v>
      </c>
      <c r="AC31">
        <v>24399.926646706586</v>
      </c>
    </row>
    <row r="32" spans="1:29" x14ac:dyDescent="0.25">
      <c r="A32" t="s">
        <v>56</v>
      </c>
      <c r="B32" t="s">
        <v>75</v>
      </c>
      <c r="C32" t="s">
        <v>175</v>
      </c>
      <c r="D32" t="s">
        <v>172</v>
      </c>
      <c r="E32">
        <v>30</v>
      </c>
      <c r="F32" s="5">
        <v>4.04</v>
      </c>
      <c r="G32" s="5">
        <f t="shared" si="2"/>
        <v>4.548</v>
      </c>
      <c r="H32" t="s">
        <v>669</v>
      </c>
      <c r="I32">
        <v>0.84099999999999997</v>
      </c>
      <c r="J32" s="3">
        <f>1099311.519 * EXP(1)^(-0.01166 * 0.00001)*1000</f>
        <v>1099311390.8202844</v>
      </c>
      <c r="K32" s="3">
        <f>1099311.519 * EXP(1)^(-0.01166 * 0.0001)*1000</f>
        <v>1099310237.2035162</v>
      </c>
      <c r="L32" s="3">
        <f t="shared" si="7"/>
        <v>1153.6167681217194</v>
      </c>
      <c r="M32" s="30">
        <v>1E-4</v>
      </c>
      <c r="N32" s="3">
        <f t="shared" si="1"/>
        <v>11536167.681217194</v>
      </c>
      <c r="O32" s="3">
        <f t="shared" si="5"/>
        <v>11536159.699096546</v>
      </c>
      <c r="P32" s="17">
        <f t="shared" si="4"/>
        <v>2536536.4294672809</v>
      </c>
      <c r="Q32" s="17">
        <f>AVERAGE(P32:P37)</f>
        <v>2482214.4589490718</v>
      </c>
      <c r="R32" s="17">
        <f>STDEV(P32:P37)</f>
        <v>558062.3478123392</v>
      </c>
      <c r="S32" s="3">
        <f t="shared" si="8"/>
        <v>2.3073853732764502</v>
      </c>
      <c r="T32" s="3">
        <f>AVERAGE(S32:S37)</f>
        <v>2.4737751154640777</v>
      </c>
      <c r="U32" s="3">
        <f>STDEV(S32:S37)</f>
        <v>0.41357716415606821</v>
      </c>
      <c r="V32">
        <v>1099312</v>
      </c>
      <c r="W32" s="11">
        <f t="shared" si="9"/>
        <v>1309299.8666666667</v>
      </c>
      <c r="X32" s="17">
        <f t="shared" si="10"/>
        <v>425827.05466880882</v>
      </c>
      <c r="Y32">
        <f t="shared" si="6"/>
        <v>753226.96956348419</v>
      </c>
      <c r="Z32" s="45">
        <f t="shared" si="11"/>
        <v>0.31481966032983888</v>
      </c>
      <c r="AA32" s="50">
        <f>AVERAGE(Z32:Z34)</f>
        <v>0.41381964428623813</v>
      </c>
      <c r="AB32" s="50">
        <f>STDEV(Z32:Z34)</f>
        <v>0.19048530526741678</v>
      </c>
      <c r="AC32">
        <v>281728.54291417164</v>
      </c>
    </row>
    <row r="33" spans="1:29" x14ac:dyDescent="0.25">
      <c r="A33" t="s">
        <v>58</v>
      </c>
      <c r="B33" t="s">
        <v>75</v>
      </c>
      <c r="C33" t="s">
        <v>175</v>
      </c>
      <c r="D33" t="s">
        <v>172</v>
      </c>
      <c r="E33">
        <v>30</v>
      </c>
      <c r="F33" s="5">
        <v>6.2949999999999999</v>
      </c>
      <c r="G33" s="5">
        <f t="shared" si="2"/>
        <v>7.2539999999999996</v>
      </c>
      <c r="H33" t="s">
        <v>670</v>
      </c>
      <c r="I33">
        <v>0.99299999999999999</v>
      </c>
      <c r="J33" s="3">
        <f>1054748.236 * EXP(1)^(-0.02346 * 0.00001)*1000</f>
        <v>1054747988.5560929</v>
      </c>
      <c r="K33" s="3">
        <f>1054748.236 * EXP(1)^(-0.02346 * 0.0001)*1000</f>
        <v>1054745761.5635409</v>
      </c>
      <c r="L33" s="3">
        <f t="shared" si="7"/>
        <v>2226.9925519227982</v>
      </c>
      <c r="M33" s="30">
        <v>1E-4</v>
      </c>
      <c r="N33" s="3">
        <f t="shared" si="1"/>
        <v>22269925.519227982</v>
      </c>
      <c r="O33" s="3">
        <f t="shared" si="5"/>
        <v>22269917.537107334</v>
      </c>
      <c r="P33" s="17">
        <f t="shared" si="4"/>
        <v>3070020.0605497635</v>
      </c>
      <c r="S33" s="3">
        <f t="shared" si="8"/>
        <v>2.9106668707120216</v>
      </c>
      <c r="V33">
        <v>1054748</v>
      </c>
      <c r="W33" s="11">
        <f t="shared" si="9"/>
        <v>1309299.8666666667</v>
      </c>
      <c r="X33" s="17">
        <f t="shared" si="10"/>
        <v>425827.05466880882</v>
      </c>
      <c r="Y33">
        <f t="shared" si="6"/>
        <v>386650.23442316055</v>
      </c>
      <c r="Z33" s="45">
        <f t="shared" si="11"/>
        <v>0.63341932440435011</v>
      </c>
      <c r="AC33">
        <v>296543.91217564867</v>
      </c>
    </row>
    <row r="34" spans="1:29" x14ac:dyDescent="0.25">
      <c r="A34" t="s">
        <v>59</v>
      </c>
      <c r="B34" t="s">
        <v>75</v>
      </c>
      <c r="C34" t="s">
        <v>175</v>
      </c>
      <c r="D34" t="s">
        <v>172</v>
      </c>
      <c r="E34">
        <v>30</v>
      </c>
      <c r="F34" s="5">
        <v>4.1449999999999996</v>
      </c>
      <c r="G34" s="5">
        <f t="shared" si="2"/>
        <v>4.6739999999999995</v>
      </c>
      <c r="H34" t="s">
        <v>671</v>
      </c>
      <c r="I34">
        <v>0.97499999999999998</v>
      </c>
      <c r="J34" s="3">
        <f>1044290.439 * EXP(1)^(-0.01086 * 0.00001)*1000</f>
        <v>1044290325.5900645</v>
      </c>
      <c r="K34" s="3">
        <f>1044290.439 * EXP(1)^(-0.01086 * 0.0001)*1000</f>
        <v>1044289304.9011991</v>
      </c>
      <c r="L34" s="3">
        <f t="shared" si="7"/>
        <v>1020.6888654232025</v>
      </c>
      <c r="M34" s="30">
        <v>1E-4</v>
      </c>
      <c r="N34" s="3">
        <f t="shared" si="1"/>
        <v>10206888.654232025</v>
      </c>
      <c r="O34" s="3">
        <f t="shared" si="5"/>
        <v>10206880.672111377</v>
      </c>
      <c r="P34" s="17">
        <f t="shared" si="4"/>
        <v>2183758.8049276909</v>
      </c>
      <c r="S34" s="3">
        <f t="shared" si="8"/>
        <v>2.0911421204145313</v>
      </c>
      <c r="V34">
        <v>1044290</v>
      </c>
      <c r="W34" s="11">
        <f t="shared" si="9"/>
        <v>1309299.8666666667</v>
      </c>
      <c r="X34" s="17">
        <f t="shared" si="10"/>
        <v>425827.05466880882</v>
      </c>
      <c r="Y34">
        <f t="shared" si="6"/>
        <v>738083.34037303925</v>
      </c>
      <c r="Z34" s="45">
        <f t="shared" si="11"/>
        <v>0.29321994812452551</v>
      </c>
      <c r="AC34">
        <v>413356.2874251497</v>
      </c>
    </row>
    <row r="35" spans="1:29" x14ac:dyDescent="0.25">
      <c r="A35" t="s">
        <v>60</v>
      </c>
      <c r="B35" t="s">
        <v>75</v>
      </c>
      <c r="C35" t="s">
        <v>175</v>
      </c>
      <c r="D35" t="s">
        <v>172</v>
      </c>
      <c r="E35">
        <v>60</v>
      </c>
      <c r="F35" s="5">
        <v>4.6929999999999996</v>
      </c>
      <c r="G35" s="5">
        <f t="shared" si="2"/>
        <v>5.3315999999999999</v>
      </c>
      <c r="H35" t="s">
        <v>672</v>
      </c>
      <c r="I35">
        <v>0.85099999999999998</v>
      </c>
      <c r="J35" s="3">
        <f>1085642.052 * EXP(1)^(-0.01745 * 0.00001)*1000</f>
        <v>1085641862.5554783</v>
      </c>
      <c r="K35" s="3">
        <f>1085642.052 * EXP(1)^(-0.01745 * 0.0001)*1000</f>
        <v>1085640157.5562718</v>
      </c>
      <c r="L35" s="3">
        <f t="shared" si="7"/>
        <v>1704.9992065429688</v>
      </c>
      <c r="M35" s="30">
        <v>1E-4</v>
      </c>
      <c r="N35" s="3">
        <f t="shared" si="1"/>
        <v>17049992.065429688</v>
      </c>
      <c r="O35" s="3">
        <f t="shared" si="5"/>
        <v>17049984.083309039</v>
      </c>
      <c r="P35" s="17">
        <f t="shared" si="4"/>
        <v>3197912.8339390969</v>
      </c>
      <c r="S35" s="3">
        <f t="shared" si="8"/>
        <v>2.9456421490132998</v>
      </c>
      <c r="V35">
        <v>1085642</v>
      </c>
      <c r="W35" s="11">
        <f t="shared" si="9"/>
        <v>1309299.8666666667</v>
      </c>
      <c r="X35" s="17">
        <f t="shared" si="10"/>
        <v>425827.05466880882</v>
      </c>
      <c r="Y35">
        <f t="shared" si="6"/>
        <v>62642.47607421875</v>
      </c>
      <c r="Z35" s="45">
        <f t="shared" si="11"/>
        <v>0.9422991409007585</v>
      </c>
      <c r="AA35" s="50">
        <f>AVERAGE(Z35:Z37)</f>
        <v>0.76859923842299194</v>
      </c>
      <c r="AB35" s="50">
        <f>STDEV(Z35:Z37)</f>
        <v>0.17636784050723886</v>
      </c>
      <c r="AC35">
        <v>464982.89371257485</v>
      </c>
    </row>
    <row r="36" spans="1:29" x14ac:dyDescent="0.25">
      <c r="A36" t="s">
        <v>61</v>
      </c>
      <c r="B36" t="s">
        <v>75</v>
      </c>
      <c r="C36" t="s">
        <v>175</v>
      </c>
      <c r="D36" t="s">
        <v>172</v>
      </c>
      <c r="E36">
        <v>60</v>
      </c>
      <c r="F36" s="5">
        <v>4.3639999999999999</v>
      </c>
      <c r="G36" s="5">
        <f t="shared" si="2"/>
        <v>4.9367999999999999</v>
      </c>
      <c r="H36" t="s">
        <v>673</v>
      </c>
      <c r="I36">
        <v>0.86799999999999999</v>
      </c>
      <c r="J36" s="3">
        <f>805624.826 * EXP(1)^(-0.01433 * 0.00001)*1000</f>
        <v>805624710.55397069</v>
      </c>
      <c r="K36" s="3">
        <f>805624.826 * EXP(1)^(-0.01433 * 0.0001)*1000</f>
        <v>805623671.54045153</v>
      </c>
      <c r="L36" s="3">
        <f t="shared" si="7"/>
        <v>1039.0135191679001</v>
      </c>
      <c r="M36" s="30">
        <v>1E-4</v>
      </c>
      <c r="N36" s="3">
        <f t="shared" si="1"/>
        <v>10390135.191679001</v>
      </c>
      <c r="O36" s="3">
        <f t="shared" si="5"/>
        <v>10390127.209558353</v>
      </c>
      <c r="P36" s="17">
        <f t="shared" si="4"/>
        <v>2104629.5559226628</v>
      </c>
      <c r="S36" s="3">
        <f t="shared" si="8"/>
        <v>2.6124183781817383</v>
      </c>
      <c r="V36">
        <v>805625</v>
      </c>
      <c r="W36" s="11">
        <f t="shared" si="9"/>
        <v>1309299.8666666667</v>
      </c>
      <c r="X36" s="17">
        <f t="shared" si="10"/>
        <v>425827.05466880882</v>
      </c>
      <c r="Y36">
        <f t="shared" si="6"/>
        <v>182216.88849925995</v>
      </c>
      <c r="Z36" s="45">
        <f t="shared" si="11"/>
        <v>0.77381922296445627</v>
      </c>
      <c r="AC36">
        <v>356611.84880239522</v>
      </c>
    </row>
    <row r="37" spans="1:29" x14ac:dyDescent="0.25">
      <c r="A37" t="s">
        <v>62</v>
      </c>
      <c r="B37" t="s">
        <v>75</v>
      </c>
      <c r="C37" t="s">
        <v>175</v>
      </c>
      <c r="D37" t="s">
        <v>172</v>
      </c>
      <c r="E37">
        <v>60</v>
      </c>
      <c r="F37" s="5">
        <v>4.3959999999999999</v>
      </c>
      <c r="G37" s="5">
        <f t="shared" si="2"/>
        <v>4.9752000000000001</v>
      </c>
      <c r="H37" t="s">
        <v>674</v>
      </c>
      <c r="I37">
        <v>0.86599999999999999</v>
      </c>
      <c r="J37" s="3">
        <f>911426.545 * EXP(1)^(-0.01092 * 0.00001)*1000</f>
        <v>911426445.47222674</v>
      </c>
      <c r="K37" s="3">
        <f>911426.545 * EXP(1)^(-0.01092 * 0.0001)*1000</f>
        <v>911425549.72275639</v>
      </c>
      <c r="L37" s="3">
        <f t="shared" si="7"/>
        <v>895.74947035312653</v>
      </c>
      <c r="M37" s="30">
        <v>1E-4</v>
      </c>
      <c r="N37" s="3">
        <f t="shared" si="1"/>
        <v>8957494.7035312653</v>
      </c>
      <c r="O37" s="3">
        <f t="shared" si="5"/>
        <v>8957486.7214106172</v>
      </c>
      <c r="P37" s="17">
        <f t="shared" si="4"/>
        <v>1800429.0688879371</v>
      </c>
      <c r="S37" s="3">
        <f t="shared" si="8"/>
        <v>1.9753958011864221</v>
      </c>
      <c r="V37">
        <v>911427</v>
      </c>
      <c r="W37" s="11">
        <f t="shared" si="9"/>
        <v>1309299.8666666667</v>
      </c>
      <c r="X37" s="17">
        <f t="shared" si="10"/>
        <v>425827.05466880882</v>
      </c>
      <c r="Y37">
        <f t="shared" si="6"/>
        <v>373977.31778812408</v>
      </c>
      <c r="Z37" s="45">
        <f t="shared" si="11"/>
        <v>0.58967935140376126</v>
      </c>
      <c r="AC37">
        <v>359764.65419161675</v>
      </c>
    </row>
    <row r="38" spans="1:29" x14ac:dyDescent="0.25">
      <c r="G38" s="5">
        <f>AVERAGE(G2:G37)</f>
        <v>5.8132999999999999</v>
      </c>
    </row>
    <row r="39" spans="1:29" x14ac:dyDescent="0.25">
      <c r="G39" s="5">
        <f>STDEV(G2:G37)</f>
        <v>1.6926936298608295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DF55-BBC5-5741-8CF3-93C1E8849FD2}">
  <dimension ref="A1:H901"/>
  <sheetViews>
    <sheetView topLeftCell="A868" workbookViewId="0">
      <selection activeCell="H893" sqref="H893"/>
    </sheetView>
  </sheetViews>
  <sheetFormatPr baseColWidth="10" defaultRowHeight="15.75" x14ac:dyDescent="0.25"/>
  <cols>
    <col min="1" max="1" width="14" bestFit="1" customWidth="1"/>
    <col min="2" max="2" width="13.125" bestFit="1" customWidth="1"/>
    <col min="3" max="3" width="16.625" bestFit="1" customWidth="1"/>
    <col min="4" max="4" width="15.375" bestFit="1" customWidth="1"/>
    <col min="5" max="5" width="15.375" customWidth="1"/>
    <col min="6" max="6" width="10.125" bestFit="1" customWidth="1"/>
  </cols>
  <sheetData>
    <row r="1" spans="1:8" ht="18.75" x14ac:dyDescent="0.3">
      <c r="A1" s="19" t="s">
        <v>146</v>
      </c>
      <c r="B1" s="19" t="s">
        <v>165</v>
      </c>
      <c r="C1" s="19" t="s">
        <v>166</v>
      </c>
      <c r="D1" s="19" t="s">
        <v>167</v>
      </c>
      <c r="E1" s="19" t="s">
        <v>1423</v>
      </c>
      <c r="F1" s="19" t="s">
        <v>168</v>
      </c>
      <c r="G1" s="19" t="s">
        <v>205</v>
      </c>
      <c r="H1" s="19" t="s">
        <v>206</v>
      </c>
    </row>
    <row r="2" spans="1:8" x14ac:dyDescent="0.25">
      <c r="A2" t="s">
        <v>174</v>
      </c>
      <c r="B2" t="s">
        <v>23</v>
      </c>
      <c r="C2" t="s">
        <v>175</v>
      </c>
      <c r="D2" t="s">
        <v>170</v>
      </c>
      <c r="E2">
        <v>290977.04590818362</v>
      </c>
      <c r="F2">
        <v>30</v>
      </c>
      <c r="G2" t="s">
        <v>696</v>
      </c>
      <c r="H2">
        <v>1</v>
      </c>
    </row>
    <row r="3" spans="1:8" x14ac:dyDescent="0.25">
      <c r="A3" t="s">
        <v>176</v>
      </c>
      <c r="B3" t="s">
        <v>23</v>
      </c>
      <c r="C3" t="s">
        <v>175</v>
      </c>
      <c r="D3" t="s">
        <v>170</v>
      </c>
      <c r="E3">
        <v>290977.04590818362</v>
      </c>
      <c r="F3">
        <v>30</v>
      </c>
      <c r="G3" t="s">
        <v>696</v>
      </c>
      <c r="H3">
        <v>2</v>
      </c>
    </row>
    <row r="4" spans="1:8" x14ac:dyDescent="0.25">
      <c r="A4" t="s">
        <v>177</v>
      </c>
      <c r="B4" t="s">
        <v>23</v>
      </c>
      <c r="C4" t="s">
        <v>175</v>
      </c>
      <c r="D4" t="s">
        <v>170</v>
      </c>
      <c r="E4">
        <v>290977.04590818362</v>
      </c>
      <c r="F4">
        <v>30</v>
      </c>
      <c r="G4" t="s">
        <v>697</v>
      </c>
      <c r="H4">
        <v>2</v>
      </c>
    </row>
    <row r="5" spans="1:8" x14ac:dyDescent="0.25">
      <c r="A5" t="s">
        <v>178</v>
      </c>
      <c r="B5" t="s">
        <v>23</v>
      </c>
      <c r="C5" t="s">
        <v>175</v>
      </c>
      <c r="D5" t="s">
        <v>170</v>
      </c>
      <c r="E5">
        <v>290977.04590818362</v>
      </c>
      <c r="F5">
        <v>30</v>
      </c>
      <c r="G5" t="s">
        <v>697</v>
      </c>
      <c r="H5">
        <v>2</v>
      </c>
    </row>
    <row r="6" spans="1:8" x14ac:dyDescent="0.25">
      <c r="A6" t="s">
        <v>179</v>
      </c>
      <c r="B6" t="s">
        <v>23</v>
      </c>
      <c r="C6" t="s">
        <v>175</v>
      </c>
      <c r="D6" t="s">
        <v>170</v>
      </c>
      <c r="E6">
        <v>290977.04590818362</v>
      </c>
      <c r="F6">
        <v>30</v>
      </c>
      <c r="G6" t="s">
        <v>697</v>
      </c>
      <c r="H6">
        <v>1</v>
      </c>
    </row>
    <row r="7" spans="1:8" x14ac:dyDescent="0.25">
      <c r="A7" t="s">
        <v>180</v>
      </c>
      <c r="B7" t="s">
        <v>23</v>
      </c>
      <c r="C7" t="s">
        <v>175</v>
      </c>
      <c r="D7" t="s">
        <v>170</v>
      </c>
      <c r="E7">
        <v>290977.04590818362</v>
      </c>
      <c r="F7">
        <v>30</v>
      </c>
      <c r="G7" t="s">
        <v>697</v>
      </c>
      <c r="H7">
        <v>1</v>
      </c>
    </row>
    <row r="8" spans="1:8" x14ac:dyDescent="0.25">
      <c r="A8" t="s">
        <v>181</v>
      </c>
      <c r="B8" t="s">
        <v>23</v>
      </c>
      <c r="C8" t="s">
        <v>175</v>
      </c>
      <c r="D8" t="s">
        <v>170</v>
      </c>
      <c r="E8">
        <v>290977.04590818362</v>
      </c>
      <c r="F8">
        <v>30</v>
      </c>
      <c r="G8" t="s">
        <v>696</v>
      </c>
      <c r="H8">
        <v>1</v>
      </c>
    </row>
    <row r="9" spans="1:8" x14ac:dyDescent="0.25">
      <c r="A9" t="s">
        <v>182</v>
      </c>
      <c r="B9" t="s">
        <v>23</v>
      </c>
      <c r="C9" t="s">
        <v>175</v>
      </c>
      <c r="D9" t="s">
        <v>170</v>
      </c>
      <c r="E9">
        <v>290977.04590818362</v>
      </c>
      <c r="F9">
        <v>30</v>
      </c>
      <c r="G9" t="s">
        <v>696</v>
      </c>
      <c r="H9">
        <v>1</v>
      </c>
    </row>
    <row r="10" spans="1:8" x14ac:dyDescent="0.25">
      <c r="A10" t="s">
        <v>183</v>
      </c>
      <c r="B10" t="s">
        <v>23</v>
      </c>
      <c r="C10" t="s">
        <v>175</v>
      </c>
      <c r="D10" t="s">
        <v>170</v>
      </c>
      <c r="E10">
        <v>290977.04590818362</v>
      </c>
      <c r="F10">
        <v>30</v>
      </c>
      <c r="G10" t="s">
        <v>697</v>
      </c>
      <c r="H10">
        <v>1</v>
      </c>
    </row>
    <row r="11" spans="1:8" x14ac:dyDescent="0.25">
      <c r="A11" t="s">
        <v>184</v>
      </c>
      <c r="B11" t="s">
        <v>23</v>
      </c>
      <c r="C11" t="s">
        <v>175</v>
      </c>
      <c r="D11" t="s">
        <v>170</v>
      </c>
      <c r="E11">
        <v>290977.04590818362</v>
      </c>
      <c r="F11">
        <v>30</v>
      </c>
      <c r="G11" t="s">
        <v>697</v>
      </c>
      <c r="H11">
        <v>1</v>
      </c>
    </row>
    <row r="12" spans="1:8" x14ac:dyDescent="0.25">
      <c r="A12" t="s">
        <v>185</v>
      </c>
      <c r="B12" t="s">
        <v>23</v>
      </c>
      <c r="C12" t="s">
        <v>175</v>
      </c>
      <c r="D12" t="s">
        <v>170</v>
      </c>
      <c r="E12">
        <v>290977.04590818362</v>
      </c>
      <c r="F12">
        <v>30</v>
      </c>
      <c r="G12" t="s">
        <v>130</v>
      </c>
      <c r="H12">
        <v>2</v>
      </c>
    </row>
    <row r="13" spans="1:8" x14ac:dyDescent="0.25">
      <c r="A13" t="s">
        <v>186</v>
      </c>
      <c r="B13" t="s">
        <v>23</v>
      </c>
      <c r="C13" t="s">
        <v>175</v>
      </c>
      <c r="D13" t="s">
        <v>170</v>
      </c>
      <c r="E13">
        <v>290977.04590818362</v>
      </c>
      <c r="F13">
        <v>30</v>
      </c>
      <c r="G13" t="s">
        <v>696</v>
      </c>
      <c r="H13">
        <v>1</v>
      </c>
    </row>
    <row r="14" spans="1:8" x14ac:dyDescent="0.25">
      <c r="A14" t="s">
        <v>187</v>
      </c>
      <c r="B14" t="s">
        <v>23</v>
      </c>
      <c r="C14" t="s">
        <v>175</v>
      </c>
      <c r="D14" t="s">
        <v>170</v>
      </c>
      <c r="E14">
        <v>290977.04590818362</v>
      </c>
      <c r="F14">
        <v>30</v>
      </c>
      <c r="G14" t="s">
        <v>130</v>
      </c>
      <c r="H14">
        <v>1</v>
      </c>
    </row>
    <row r="15" spans="1:8" x14ac:dyDescent="0.25">
      <c r="A15" t="s">
        <v>188</v>
      </c>
      <c r="B15" t="s">
        <v>23</v>
      </c>
      <c r="C15" t="s">
        <v>175</v>
      </c>
      <c r="D15" t="s">
        <v>170</v>
      </c>
      <c r="E15">
        <v>290977.04590818362</v>
      </c>
      <c r="F15">
        <v>30</v>
      </c>
      <c r="G15" t="s">
        <v>697</v>
      </c>
      <c r="H15">
        <v>1</v>
      </c>
    </row>
    <row r="16" spans="1:8" x14ac:dyDescent="0.25">
      <c r="A16" t="s">
        <v>189</v>
      </c>
      <c r="B16" t="s">
        <v>23</v>
      </c>
      <c r="C16" t="s">
        <v>175</v>
      </c>
      <c r="D16" t="s">
        <v>170</v>
      </c>
      <c r="E16">
        <v>290977.04590818362</v>
      </c>
      <c r="F16">
        <v>30</v>
      </c>
      <c r="G16" t="s">
        <v>697</v>
      </c>
      <c r="H16">
        <v>2</v>
      </c>
    </row>
    <row r="17" spans="1:8" x14ac:dyDescent="0.25">
      <c r="A17" t="s">
        <v>190</v>
      </c>
      <c r="B17" t="s">
        <v>23</v>
      </c>
      <c r="C17" t="s">
        <v>175</v>
      </c>
      <c r="D17" t="s">
        <v>170</v>
      </c>
      <c r="E17">
        <v>290977.04590818362</v>
      </c>
      <c r="F17">
        <v>30</v>
      </c>
      <c r="G17" t="s">
        <v>696</v>
      </c>
      <c r="H17">
        <v>1</v>
      </c>
    </row>
    <row r="18" spans="1:8" x14ac:dyDescent="0.25">
      <c r="A18" t="s">
        <v>191</v>
      </c>
      <c r="B18" t="s">
        <v>23</v>
      </c>
      <c r="C18" t="s">
        <v>175</v>
      </c>
      <c r="D18" t="s">
        <v>170</v>
      </c>
      <c r="E18">
        <v>290977.04590818362</v>
      </c>
      <c r="F18">
        <v>30</v>
      </c>
      <c r="G18" t="s">
        <v>697</v>
      </c>
      <c r="H18">
        <v>2</v>
      </c>
    </row>
    <row r="19" spans="1:8" x14ac:dyDescent="0.25">
      <c r="A19" t="s">
        <v>192</v>
      </c>
      <c r="B19" t="s">
        <v>23</v>
      </c>
      <c r="C19" t="s">
        <v>175</v>
      </c>
      <c r="D19" t="s">
        <v>170</v>
      </c>
      <c r="E19">
        <v>290977.04590818362</v>
      </c>
      <c r="F19">
        <v>30</v>
      </c>
      <c r="G19" t="s">
        <v>697</v>
      </c>
      <c r="H19">
        <v>1</v>
      </c>
    </row>
    <row r="20" spans="1:8" x14ac:dyDescent="0.25">
      <c r="A20" t="s">
        <v>193</v>
      </c>
      <c r="B20" t="s">
        <v>23</v>
      </c>
      <c r="C20" t="s">
        <v>175</v>
      </c>
      <c r="D20" t="s">
        <v>170</v>
      </c>
      <c r="E20">
        <v>290977.04590818362</v>
      </c>
      <c r="F20">
        <v>30</v>
      </c>
      <c r="G20" t="s">
        <v>697</v>
      </c>
      <c r="H20">
        <v>1</v>
      </c>
    </row>
    <row r="21" spans="1:8" x14ac:dyDescent="0.25">
      <c r="A21" t="s">
        <v>194</v>
      </c>
      <c r="B21" t="s">
        <v>23</v>
      </c>
      <c r="C21" t="s">
        <v>175</v>
      </c>
      <c r="D21" t="s">
        <v>170</v>
      </c>
      <c r="E21">
        <v>290977.04590818362</v>
      </c>
      <c r="F21">
        <v>30</v>
      </c>
      <c r="G21" t="s">
        <v>130</v>
      </c>
      <c r="H21">
        <v>1</v>
      </c>
    </row>
    <row r="22" spans="1:8" x14ac:dyDescent="0.25">
      <c r="A22" t="s">
        <v>195</v>
      </c>
      <c r="B22" t="s">
        <v>23</v>
      </c>
      <c r="C22" t="s">
        <v>175</v>
      </c>
      <c r="D22" t="s">
        <v>170</v>
      </c>
      <c r="E22">
        <v>290977.04590818362</v>
      </c>
      <c r="F22">
        <v>30</v>
      </c>
      <c r="G22" t="s">
        <v>696</v>
      </c>
      <c r="H22">
        <v>1</v>
      </c>
    </row>
    <row r="23" spans="1:8" x14ac:dyDescent="0.25">
      <c r="A23" t="s">
        <v>196</v>
      </c>
      <c r="B23" t="s">
        <v>23</v>
      </c>
      <c r="C23" t="s">
        <v>175</v>
      </c>
      <c r="D23" t="s">
        <v>170</v>
      </c>
      <c r="E23">
        <v>290977.04590818362</v>
      </c>
      <c r="F23">
        <v>30</v>
      </c>
      <c r="G23" t="s">
        <v>698</v>
      </c>
      <c r="H23">
        <v>1</v>
      </c>
    </row>
    <row r="24" spans="1:8" x14ac:dyDescent="0.25">
      <c r="A24" t="s">
        <v>197</v>
      </c>
      <c r="B24" t="s">
        <v>23</v>
      </c>
      <c r="C24" t="s">
        <v>175</v>
      </c>
      <c r="D24" t="s">
        <v>170</v>
      </c>
      <c r="E24">
        <v>290977.04590818362</v>
      </c>
      <c r="F24">
        <v>30</v>
      </c>
      <c r="G24" t="s">
        <v>697</v>
      </c>
      <c r="H24">
        <v>1</v>
      </c>
    </row>
    <row r="25" spans="1:8" x14ac:dyDescent="0.25">
      <c r="A25" t="s">
        <v>198</v>
      </c>
      <c r="B25" t="s">
        <v>23</v>
      </c>
      <c r="C25" t="s">
        <v>175</v>
      </c>
      <c r="D25" t="s">
        <v>170</v>
      </c>
      <c r="E25">
        <v>290977.04590818362</v>
      </c>
      <c r="F25">
        <v>30</v>
      </c>
      <c r="G25" t="s">
        <v>696</v>
      </c>
      <c r="H25">
        <v>1</v>
      </c>
    </row>
    <row r="26" spans="1:8" x14ac:dyDescent="0.25">
      <c r="A26" t="s">
        <v>199</v>
      </c>
      <c r="B26" t="s">
        <v>23</v>
      </c>
      <c r="C26" t="s">
        <v>175</v>
      </c>
      <c r="D26" t="s">
        <v>170</v>
      </c>
      <c r="E26">
        <v>290977.04590818362</v>
      </c>
      <c r="F26">
        <v>30</v>
      </c>
      <c r="G26" t="s">
        <v>697</v>
      </c>
      <c r="H26">
        <v>1</v>
      </c>
    </row>
    <row r="27" spans="1:8" x14ac:dyDescent="0.25">
      <c r="A27" t="s">
        <v>200</v>
      </c>
      <c r="B27" t="s">
        <v>23</v>
      </c>
      <c r="C27" t="s">
        <v>175</v>
      </c>
      <c r="D27" t="s">
        <v>170</v>
      </c>
      <c r="E27">
        <v>290977.04590818362</v>
      </c>
      <c r="F27">
        <v>30</v>
      </c>
      <c r="G27" t="s">
        <v>697</v>
      </c>
      <c r="H27">
        <v>1</v>
      </c>
    </row>
    <row r="28" spans="1:8" x14ac:dyDescent="0.25">
      <c r="A28" t="s">
        <v>201</v>
      </c>
      <c r="B28" t="s">
        <v>23</v>
      </c>
      <c r="C28" t="s">
        <v>175</v>
      </c>
      <c r="D28" t="s">
        <v>170</v>
      </c>
      <c r="E28">
        <v>290977.04590818362</v>
      </c>
      <c r="F28">
        <v>30</v>
      </c>
      <c r="G28" t="s">
        <v>696</v>
      </c>
      <c r="H28">
        <v>1</v>
      </c>
    </row>
    <row r="29" spans="1:8" x14ac:dyDescent="0.25">
      <c r="A29" t="s">
        <v>202</v>
      </c>
      <c r="B29" t="s">
        <v>23</v>
      </c>
      <c r="C29" t="s">
        <v>175</v>
      </c>
      <c r="D29" t="s">
        <v>170</v>
      </c>
      <c r="E29">
        <v>290977.04590818362</v>
      </c>
      <c r="F29">
        <v>30</v>
      </c>
      <c r="G29" t="s">
        <v>698</v>
      </c>
      <c r="H29">
        <v>3</v>
      </c>
    </row>
    <row r="30" spans="1:8" x14ac:dyDescent="0.25">
      <c r="A30" t="s">
        <v>203</v>
      </c>
      <c r="B30" t="s">
        <v>23</v>
      </c>
      <c r="C30" t="s">
        <v>175</v>
      </c>
      <c r="D30" t="s">
        <v>170</v>
      </c>
      <c r="E30">
        <v>290977.04590818362</v>
      </c>
      <c r="F30">
        <v>30</v>
      </c>
      <c r="G30" t="s">
        <v>696</v>
      </c>
      <c r="H30">
        <v>1</v>
      </c>
    </row>
    <row r="31" spans="1:8" x14ac:dyDescent="0.25">
      <c r="A31" t="s">
        <v>204</v>
      </c>
      <c r="B31" t="s">
        <v>23</v>
      </c>
      <c r="C31" t="s">
        <v>175</v>
      </c>
      <c r="D31" t="s">
        <v>170</v>
      </c>
      <c r="E31">
        <v>290977.04590818362</v>
      </c>
      <c r="F31">
        <v>30</v>
      </c>
      <c r="G31" t="s">
        <v>696</v>
      </c>
      <c r="H31">
        <v>1</v>
      </c>
    </row>
    <row r="32" spans="1:8" x14ac:dyDescent="0.25">
      <c r="A32" t="s">
        <v>207</v>
      </c>
      <c r="B32" t="s">
        <v>23</v>
      </c>
      <c r="C32" t="s">
        <v>175</v>
      </c>
      <c r="D32" t="s">
        <v>170</v>
      </c>
      <c r="E32">
        <v>257314.37125748501</v>
      </c>
      <c r="F32">
        <v>30</v>
      </c>
      <c r="G32" t="s">
        <v>697</v>
      </c>
      <c r="H32">
        <v>1</v>
      </c>
    </row>
    <row r="33" spans="1:8" x14ac:dyDescent="0.25">
      <c r="A33" t="s">
        <v>208</v>
      </c>
      <c r="B33" t="s">
        <v>23</v>
      </c>
      <c r="C33" t="s">
        <v>175</v>
      </c>
      <c r="D33" t="s">
        <v>170</v>
      </c>
      <c r="E33">
        <v>257314.37125748501</v>
      </c>
      <c r="F33">
        <v>30</v>
      </c>
      <c r="G33" t="s">
        <v>697</v>
      </c>
      <c r="H33">
        <v>1</v>
      </c>
    </row>
    <row r="34" spans="1:8" x14ac:dyDescent="0.25">
      <c r="A34" t="s">
        <v>209</v>
      </c>
      <c r="B34" t="s">
        <v>23</v>
      </c>
      <c r="C34" t="s">
        <v>175</v>
      </c>
      <c r="D34" t="s">
        <v>170</v>
      </c>
      <c r="E34">
        <v>257314.37125748501</v>
      </c>
      <c r="F34">
        <v>30</v>
      </c>
      <c r="G34" t="s">
        <v>696</v>
      </c>
      <c r="H34">
        <v>2</v>
      </c>
    </row>
    <row r="35" spans="1:8" x14ac:dyDescent="0.25">
      <c r="A35" t="s">
        <v>210</v>
      </c>
      <c r="B35" t="s">
        <v>23</v>
      </c>
      <c r="C35" t="s">
        <v>175</v>
      </c>
      <c r="D35" t="s">
        <v>170</v>
      </c>
      <c r="E35">
        <v>257314.37125748501</v>
      </c>
      <c r="F35">
        <v>30</v>
      </c>
      <c r="G35" t="s">
        <v>696</v>
      </c>
      <c r="H35">
        <v>1</v>
      </c>
    </row>
    <row r="36" spans="1:8" x14ac:dyDescent="0.25">
      <c r="A36" t="s">
        <v>211</v>
      </c>
      <c r="B36" t="s">
        <v>23</v>
      </c>
      <c r="C36" t="s">
        <v>175</v>
      </c>
      <c r="D36" t="s">
        <v>170</v>
      </c>
      <c r="E36">
        <v>257314.37125748501</v>
      </c>
      <c r="F36">
        <v>30</v>
      </c>
      <c r="G36" t="s">
        <v>697</v>
      </c>
      <c r="H36">
        <v>1</v>
      </c>
    </row>
    <row r="37" spans="1:8" x14ac:dyDescent="0.25">
      <c r="A37" t="s">
        <v>212</v>
      </c>
      <c r="B37" t="s">
        <v>23</v>
      </c>
      <c r="C37" t="s">
        <v>175</v>
      </c>
      <c r="D37" t="s">
        <v>170</v>
      </c>
      <c r="E37">
        <v>257314.37125748501</v>
      </c>
      <c r="F37">
        <v>30</v>
      </c>
      <c r="G37" t="s">
        <v>697</v>
      </c>
      <c r="H37">
        <v>1</v>
      </c>
    </row>
    <row r="38" spans="1:8" x14ac:dyDescent="0.25">
      <c r="A38" t="s">
        <v>213</v>
      </c>
      <c r="B38" t="s">
        <v>23</v>
      </c>
      <c r="C38" t="s">
        <v>175</v>
      </c>
      <c r="D38" t="s">
        <v>170</v>
      </c>
      <c r="E38">
        <v>257314.37125748501</v>
      </c>
      <c r="F38">
        <v>30</v>
      </c>
      <c r="G38" t="s">
        <v>696</v>
      </c>
      <c r="H38">
        <v>1</v>
      </c>
    </row>
    <row r="39" spans="1:8" x14ac:dyDescent="0.25">
      <c r="A39" t="s">
        <v>214</v>
      </c>
      <c r="B39" t="s">
        <v>23</v>
      </c>
      <c r="C39" t="s">
        <v>175</v>
      </c>
      <c r="D39" t="s">
        <v>170</v>
      </c>
      <c r="E39">
        <v>257314.37125748501</v>
      </c>
      <c r="F39">
        <v>30</v>
      </c>
      <c r="G39" t="s">
        <v>696</v>
      </c>
      <c r="H39">
        <v>1</v>
      </c>
    </row>
    <row r="40" spans="1:8" x14ac:dyDescent="0.25">
      <c r="A40" t="s">
        <v>215</v>
      </c>
      <c r="B40" t="s">
        <v>23</v>
      </c>
      <c r="C40" t="s">
        <v>175</v>
      </c>
      <c r="D40" t="s">
        <v>170</v>
      </c>
      <c r="E40">
        <v>257314.37125748501</v>
      </c>
      <c r="F40">
        <v>30</v>
      </c>
      <c r="G40" t="s">
        <v>696</v>
      </c>
      <c r="H40">
        <v>1</v>
      </c>
    </row>
    <row r="41" spans="1:8" x14ac:dyDescent="0.25">
      <c r="A41" t="s">
        <v>216</v>
      </c>
      <c r="B41" t="s">
        <v>23</v>
      </c>
      <c r="C41" t="s">
        <v>175</v>
      </c>
      <c r="D41" t="s">
        <v>170</v>
      </c>
      <c r="E41">
        <v>257314.37125748501</v>
      </c>
      <c r="F41">
        <v>30</v>
      </c>
      <c r="G41" t="s">
        <v>697</v>
      </c>
      <c r="H41">
        <v>1</v>
      </c>
    </row>
    <row r="42" spans="1:8" x14ac:dyDescent="0.25">
      <c r="A42" t="s">
        <v>217</v>
      </c>
      <c r="B42" t="s">
        <v>23</v>
      </c>
      <c r="C42" t="s">
        <v>175</v>
      </c>
      <c r="D42" t="s">
        <v>170</v>
      </c>
      <c r="E42">
        <v>257314.37125748501</v>
      </c>
      <c r="F42">
        <v>30</v>
      </c>
      <c r="G42" t="s">
        <v>698</v>
      </c>
      <c r="H42">
        <v>4</v>
      </c>
    </row>
    <row r="43" spans="1:8" x14ac:dyDescent="0.25">
      <c r="A43" t="s">
        <v>218</v>
      </c>
      <c r="B43" t="s">
        <v>23</v>
      </c>
      <c r="C43" t="s">
        <v>175</v>
      </c>
      <c r="D43" t="s">
        <v>170</v>
      </c>
      <c r="E43">
        <v>257314.37125748501</v>
      </c>
      <c r="F43">
        <v>30</v>
      </c>
      <c r="G43" t="s">
        <v>696</v>
      </c>
      <c r="H43">
        <v>1</v>
      </c>
    </row>
    <row r="44" spans="1:8" x14ac:dyDescent="0.25">
      <c r="A44" t="s">
        <v>219</v>
      </c>
      <c r="B44" t="s">
        <v>23</v>
      </c>
      <c r="C44" t="s">
        <v>175</v>
      </c>
      <c r="D44" t="s">
        <v>170</v>
      </c>
      <c r="E44">
        <v>257314.37125748501</v>
      </c>
      <c r="F44">
        <v>30</v>
      </c>
      <c r="G44" t="s">
        <v>130</v>
      </c>
      <c r="H44">
        <v>1</v>
      </c>
    </row>
    <row r="45" spans="1:8" x14ac:dyDescent="0.25">
      <c r="A45" t="s">
        <v>220</v>
      </c>
      <c r="B45" t="s">
        <v>23</v>
      </c>
      <c r="C45" t="s">
        <v>175</v>
      </c>
      <c r="D45" t="s">
        <v>170</v>
      </c>
      <c r="E45">
        <v>257314.37125748501</v>
      </c>
      <c r="F45">
        <v>30</v>
      </c>
      <c r="G45" t="s">
        <v>696</v>
      </c>
      <c r="H45">
        <v>2</v>
      </c>
    </row>
    <row r="46" spans="1:8" x14ac:dyDescent="0.25">
      <c r="A46" t="s">
        <v>221</v>
      </c>
      <c r="B46" t="s">
        <v>23</v>
      </c>
      <c r="C46" t="s">
        <v>175</v>
      </c>
      <c r="D46" t="s">
        <v>170</v>
      </c>
      <c r="E46">
        <v>257314.37125748501</v>
      </c>
      <c r="F46">
        <v>30</v>
      </c>
      <c r="G46" t="s">
        <v>697</v>
      </c>
      <c r="H46">
        <v>1</v>
      </c>
    </row>
    <row r="47" spans="1:8" x14ac:dyDescent="0.25">
      <c r="A47" t="s">
        <v>222</v>
      </c>
      <c r="B47" t="s">
        <v>23</v>
      </c>
      <c r="C47" t="s">
        <v>175</v>
      </c>
      <c r="D47" t="s">
        <v>170</v>
      </c>
      <c r="E47">
        <v>257314.37125748501</v>
      </c>
      <c r="F47">
        <v>30</v>
      </c>
      <c r="G47" t="s">
        <v>696</v>
      </c>
      <c r="H47">
        <v>2</v>
      </c>
    </row>
    <row r="48" spans="1:8" x14ac:dyDescent="0.25">
      <c r="A48" t="s">
        <v>223</v>
      </c>
      <c r="B48" t="s">
        <v>23</v>
      </c>
      <c r="C48" t="s">
        <v>175</v>
      </c>
      <c r="D48" t="s">
        <v>170</v>
      </c>
      <c r="E48">
        <v>257314.37125748501</v>
      </c>
      <c r="F48">
        <v>30</v>
      </c>
      <c r="G48" t="s">
        <v>697</v>
      </c>
      <c r="H48">
        <v>1</v>
      </c>
    </row>
    <row r="49" spans="1:8" x14ac:dyDescent="0.25">
      <c r="A49" t="s">
        <v>224</v>
      </c>
      <c r="B49" t="s">
        <v>23</v>
      </c>
      <c r="C49" t="s">
        <v>175</v>
      </c>
      <c r="D49" t="s">
        <v>170</v>
      </c>
      <c r="E49">
        <v>257314.37125748501</v>
      </c>
      <c r="F49">
        <v>30</v>
      </c>
      <c r="G49" t="s">
        <v>696</v>
      </c>
      <c r="H49">
        <v>1</v>
      </c>
    </row>
    <row r="50" spans="1:8" x14ac:dyDescent="0.25">
      <c r="A50" t="s">
        <v>225</v>
      </c>
      <c r="B50" t="s">
        <v>23</v>
      </c>
      <c r="C50" t="s">
        <v>175</v>
      </c>
      <c r="D50" t="s">
        <v>170</v>
      </c>
      <c r="E50">
        <v>257314.37125748501</v>
      </c>
      <c r="F50">
        <v>30</v>
      </c>
      <c r="G50" t="s">
        <v>697</v>
      </c>
      <c r="H50">
        <v>2</v>
      </c>
    </row>
    <row r="51" spans="1:8" x14ac:dyDescent="0.25">
      <c r="A51" t="s">
        <v>226</v>
      </c>
      <c r="B51" t="s">
        <v>23</v>
      </c>
      <c r="C51" t="s">
        <v>175</v>
      </c>
      <c r="D51" t="s">
        <v>170</v>
      </c>
      <c r="E51">
        <v>257314.37125748501</v>
      </c>
      <c r="F51">
        <v>30</v>
      </c>
      <c r="G51" t="s">
        <v>696</v>
      </c>
      <c r="H51">
        <v>1</v>
      </c>
    </row>
    <row r="52" spans="1:8" x14ac:dyDescent="0.25">
      <c r="A52" t="s">
        <v>227</v>
      </c>
      <c r="B52" t="s">
        <v>23</v>
      </c>
      <c r="C52" t="s">
        <v>175</v>
      </c>
      <c r="D52" t="s">
        <v>170</v>
      </c>
      <c r="E52">
        <v>257314.37125748501</v>
      </c>
      <c r="F52">
        <v>30</v>
      </c>
      <c r="G52" t="s">
        <v>697</v>
      </c>
      <c r="H52">
        <v>1</v>
      </c>
    </row>
    <row r="53" spans="1:8" x14ac:dyDescent="0.25">
      <c r="A53" t="s">
        <v>228</v>
      </c>
      <c r="B53" t="s">
        <v>23</v>
      </c>
      <c r="C53" t="s">
        <v>175</v>
      </c>
      <c r="D53" t="s">
        <v>170</v>
      </c>
      <c r="E53">
        <v>257314.37125748501</v>
      </c>
      <c r="F53">
        <v>30</v>
      </c>
      <c r="G53" t="s">
        <v>698</v>
      </c>
      <c r="H53">
        <v>1</v>
      </c>
    </row>
    <row r="54" spans="1:8" x14ac:dyDescent="0.25">
      <c r="A54" t="s">
        <v>229</v>
      </c>
      <c r="B54" t="s">
        <v>23</v>
      </c>
      <c r="C54" t="s">
        <v>175</v>
      </c>
      <c r="D54" t="s">
        <v>170</v>
      </c>
      <c r="E54">
        <v>257314.37125748501</v>
      </c>
      <c r="F54">
        <v>30</v>
      </c>
      <c r="G54" t="s">
        <v>697</v>
      </c>
      <c r="H54">
        <v>1</v>
      </c>
    </row>
    <row r="55" spans="1:8" x14ac:dyDescent="0.25">
      <c r="A55" t="s">
        <v>230</v>
      </c>
      <c r="B55" t="s">
        <v>23</v>
      </c>
      <c r="C55" t="s">
        <v>175</v>
      </c>
      <c r="D55" t="s">
        <v>170</v>
      </c>
      <c r="E55">
        <v>257314.37125748501</v>
      </c>
      <c r="F55">
        <v>30</v>
      </c>
      <c r="G55" t="s">
        <v>698</v>
      </c>
      <c r="H55">
        <v>1</v>
      </c>
    </row>
    <row r="56" spans="1:8" x14ac:dyDescent="0.25">
      <c r="A56" t="s">
        <v>231</v>
      </c>
      <c r="B56" t="s">
        <v>23</v>
      </c>
      <c r="C56" t="s">
        <v>175</v>
      </c>
      <c r="D56" t="s">
        <v>170</v>
      </c>
      <c r="E56">
        <v>257314.37125748501</v>
      </c>
      <c r="F56">
        <v>30</v>
      </c>
      <c r="G56" t="s">
        <v>698</v>
      </c>
      <c r="H56">
        <v>1</v>
      </c>
    </row>
    <row r="57" spans="1:8" x14ac:dyDescent="0.25">
      <c r="A57" t="s">
        <v>232</v>
      </c>
      <c r="B57" t="s">
        <v>23</v>
      </c>
      <c r="C57" t="s">
        <v>175</v>
      </c>
      <c r="D57" t="s">
        <v>170</v>
      </c>
      <c r="E57">
        <v>257314.37125748501</v>
      </c>
      <c r="F57">
        <v>30</v>
      </c>
      <c r="G57" t="s">
        <v>697</v>
      </c>
      <c r="H57">
        <v>1</v>
      </c>
    </row>
    <row r="58" spans="1:8" x14ac:dyDescent="0.25">
      <c r="A58" t="s">
        <v>233</v>
      </c>
      <c r="B58" t="s">
        <v>23</v>
      </c>
      <c r="C58" t="s">
        <v>175</v>
      </c>
      <c r="D58" t="s">
        <v>170</v>
      </c>
      <c r="E58">
        <v>257314.37125748501</v>
      </c>
      <c r="F58">
        <v>30</v>
      </c>
      <c r="G58" t="s">
        <v>698</v>
      </c>
      <c r="H58">
        <v>1</v>
      </c>
    </row>
    <row r="59" spans="1:8" x14ac:dyDescent="0.25">
      <c r="A59" t="s">
        <v>234</v>
      </c>
      <c r="B59" t="s">
        <v>23</v>
      </c>
      <c r="C59" t="s">
        <v>175</v>
      </c>
      <c r="D59" t="s">
        <v>170</v>
      </c>
      <c r="E59">
        <v>257314.37125748501</v>
      </c>
      <c r="F59">
        <v>30</v>
      </c>
      <c r="G59" t="s">
        <v>697</v>
      </c>
      <c r="H59">
        <v>2</v>
      </c>
    </row>
    <row r="60" spans="1:8" x14ac:dyDescent="0.25">
      <c r="A60" t="s">
        <v>235</v>
      </c>
      <c r="B60" t="s">
        <v>23</v>
      </c>
      <c r="C60" t="s">
        <v>175</v>
      </c>
      <c r="D60" t="s">
        <v>170</v>
      </c>
      <c r="E60">
        <v>257314.37125748501</v>
      </c>
      <c r="F60">
        <v>30</v>
      </c>
      <c r="G60" t="s">
        <v>697</v>
      </c>
      <c r="H60">
        <v>1</v>
      </c>
    </row>
    <row r="61" spans="1:8" x14ac:dyDescent="0.25">
      <c r="A61" t="s">
        <v>236</v>
      </c>
      <c r="B61" t="s">
        <v>23</v>
      </c>
      <c r="C61" t="s">
        <v>175</v>
      </c>
      <c r="D61" t="s">
        <v>170</v>
      </c>
      <c r="E61">
        <v>257314.37125748501</v>
      </c>
      <c r="F61">
        <v>30</v>
      </c>
      <c r="G61" t="s">
        <v>697</v>
      </c>
      <c r="H61">
        <v>2</v>
      </c>
    </row>
    <row r="62" spans="1:8" x14ac:dyDescent="0.25">
      <c r="A62" s="26" t="s">
        <v>237</v>
      </c>
      <c r="B62" t="s">
        <v>23</v>
      </c>
      <c r="C62" t="s">
        <v>175</v>
      </c>
      <c r="D62" t="s">
        <v>170</v>
      </c>
      <c r="E62">
        <v>287501.99600798404</v>
      </c>
      <c r="F62">
        <v>30</v>
      </c>
      <c r="G62" t="s">
        <v>697</v>
      </c>
      <c r="H62">
        <v>1</v>
      </c>
    </row>
    <row r="63" spans="1:8" x14ac:dyDescent="0.25">
      <c r="A63" s="26" t="s">
        <v>238</v>
      </c>
      <c r="B63" t="s">
        <v>23</v>
      </c>
      <c r="C63" t="s">
        <v>175</v>
      </c>
      <c r="D63" t="s">
        <v>170</v>
      </c>
      <c r="E63">
        <v>287501.99600798404</v>
      </c>
      <c r="F63">
        <v>30</v>
      </c>
      <c r="G63" t="s">
        <v>697</v>
      </c>
      <c r="H63">
        <v>1</v>
      </c>
    </row>
    <row r="64" spans="1:8" x14ac:dyDescent="0.25">
      <c r="A64" s="26" t="s">
        <v>239</v>
      </c>
      <c r="B64" t="s">
        <v>23</v>
      </c>
      <c r="C64" t="s">
        <v>175</v>
      </c>
      <c r="D64" t="s">
        <v>170</v>
      </c>
      <c r="E64">
        <v>287501.99600798404</v>
      </c>
      <c r="F64">
        <v>30</v>
      </c>
      <c r="G64" t="s">
        <v>130</v>
      </c>
      <c r="H64">
        <v>1</v>
      </c>
    </row>
    <row r="65" spans="1:8" x14ac:dyDescent="0.25">
      <c r="A65" s="26" t="s">
        <v>240</v>
      </c>
      <c r="B65" t="s">
        <v>23</v>
      </c>
      <c r="C65" t="s">
        <v>175</v>
      </c>
      <c r="D65" t="s">
        <v>170</v>
      </c>
      <c r="E65">
        <v>287501.99600798404</v>
      </c>
      <c r="F65">
        <v>30</v>
      </c>
      <c r="G65" t="s">
        <v>696</v>
      </c>
      <c r="H65">
        <v>1</v>
      </c>
    </row>
    <row r="66" spans="1:8" x14ac:dyDescent="0.25">
      <c r="A66" s="26" t="s">
        <v>241</v>
      </c>
      <c r="B66" t="s">
        <v>23</v>
      </c>
      <c r="C66" t="s">
        <v>175</v>
      </c>
      <c r="D66" t="s">
        <v>170</v>
      </c>
      <c r="E66">
        <v>287501.99600798404</v>
      </c>
      <c r="F66">
        <v>30</v>
      </c>
      <c r="G66" t="s">
        <v>696</v>
      </c>
      <c r="H66">
        <v>1</v>
      </c>
    </row>
    <row r="67" spans="1:8" x14ac:dyDescent="0.25">
      <c r="A67" s="26" t="s">
        <v>242</v>
      </c>
      <c r="B67" t="s">
        <v>23</v>
      </c>
      <c r="C67" t="s">
        <v>175</v>
      </c>
      <c r="D67" t="s">
        <v>170</v>
      </c>
      <c r="E67">
        <v>287501.99600798404</v>
      </c>
      <c r="F67">
        <v>30</v>
      </c>
      <c r="G67" t="s">
        <v>130</v>
      </c>
      <c r="H67">
        <v>1</v>
      </c>
    </row>
    <row r="68" spans="1:8" x14ac:dyDescent="0.25">
      <c r="A68" s="26" t="s">
        <v>243</v>
      </c>
      <c r="B68" t="s">
        <v>23</v>
      </c>
      <c r="C68" t="s">
        <v>175</v>
      </c>
      <c r="D68" t="s">
        <v>170</v>
      </c>
      <c r="E68">
        <v>287501.99600798404</v>
      </c>
      <c r="F68">
        <v>30</v>
      </c>
      <c r="G68" t="s">
        <v>130</v>
      </c>
      <c r="H68">
        <v>1</v>
      </c>
    </row>
    <row r="69" spans="1:8" x14ac:dyDescent="0.25">
      <c r="A69" s="26" t="s">
        <v>244</v>
      </c>
      <c r="B69" t="s">
        <v>23</v>
      </c>
      <c r="C69" t="s">
        <v>175</v>
      </c>
      <c r="D69" t="s">
        <v>170</v>
      </c>
      <c r="E69">
        <v>287501.99600798404</v>
      </c>
      <c r="F69">
        <v>30</v>
      </c>
      <c r="G69" t="s">
        <v>697</v>
      </c>
      <c r="H69">
        <v>1</v>
      </c>
    </row>
    <row r="70" spans="1:8" x14ac:dyDescent="0.25">
      <c r="A70" s="26" t="s">
        <v>245</v>
      </c>
      <c r="B70" t="s">
        <v>23</v>
      </c>
      <c r="C70" t="s">
        <v>175</v>
      </c>
      <c r="D70" t="s">
        <v>170</v>
      </c>
      <c r="E70">
        <v>287501.99600798404</v>
      </c>
      <c r="F70">
        <v>30</v>
      </c>
      <c r="G70" t="s">
        <v>696</v>
      </c>
      <c r="H70">
        <v>1</v>
      </c>
    </row>
    <row r="71" spans="1:8" x14ac:dyDescent="0.25">
      <c r="A71" s="26" t="s">
        <v>246</v>
      </c>
      <c r="B71" t="s">
        <v>23</v>
      </c>
      <c r="C71" t="s">
        <v>175</v>
      </c>
      <c r="D71" t="s">
        <v>170</v>
      </c>
      <c r="E71">
        <v>287501.99600798404</v>
      </c>
      <c r="F71">
        <v>30</v>
      </c>
      <c r="G71" t="s">
        <v>696</v>
      </c>
      <c r="H71">
        <v>1</v>
      </c>
    </row>
    <row r="72" spans="1:8" x14ac:dyDescent="0.25">
      <c r="A72" s="26" t="s">
        <v>247</v>
      </c>
      <c r="B72" t="s">
        <v>23</v>
      </c>
      <c r="C72" t="s">
        <v>175</v>
      </c>
      <c r="D72" t="s">
        <v>170</v>
      </c>
      <c r="E72">
        <v>287501.99600798404</v>
      </c>
      <c r="F72">
        <v>30</v>
      </c>
      <c r="G72" t="s">
        <v>697</v>
      </c>
      <c r="H72">
        <v>1</v>
      </c>
    </row>
    <row r="73" spans="1:8" x14ac:dyDescent="0.25">
      <c r="A73" s="26" t="s">
        <v>248</v>
      </c>
      <c r="B73" t="s">
        <v>23</v>
      </c>
      <c r="C73" t="s">
        <v>175</v>
      </c>
      <c r="D73" t="s">
        <v>170</v>
      </c>
      <c r="E73">
        <v>287501.99600798404</v>
      </c>
      <c r="F73">
        <v>30</v>
      </c>
      <c r="G73" t="s">
        <v>698</v>
      </c>
      <c r="H73">
        <v>1</v>
      </c>
    </row>
    <row r="74" spans="1:8" x14ac:dyDescent="0.25">
      <c r="A74" s="26" t="s">
        <v>249</v>
      </c>
      <c r="B74" t="s">
        <v>23</v>
      </c>
      <c r="C74" t="s">
        <v>175</v>
      </c>
      <c r="D74" t="s">
        <v>170</v>
      </c>
      <c r="E74">
        <v>287501.99600798404</v>
      </c>
      <c r="F74">
        <v>30</v>
      </c>
      <c r="G74" t="s">
        <v>696</v>
      </c>
      <c r="H74">
        <v>2</v>
      </c>
    </row>
    <row r="75" spans="1:8" x14ac:dyDescent="0.25">
      <c r="A75" s="26" t="s">
        <v>250</v>
      </c>
      <c r="B75" t="s">
        <v>23</v>
      </c>
      <c r="C75" t="s">
        <v>175</v>
      </c>
      <c r="D75" t="s">
        <v>170</v>
      </c>
      <c r="E75">
        <v>287501.99600798404</v>
      </c>
      <c r="F75">
        <v>30</v>
      </c>
      <c r="G75" t="s">
        <v>697</v>
      </c>
      <c r="H75">
        <v>1</v>
      </c>
    </row>
    <row r="76" spans="1:8" x14ac:dyDescent="0.25">
      <c r="A76" s="26" t="s">
        <v>251</v>
      </c>
      <c r="B76" t="s">
        <v>23</v>
      </c>
      <c r="C76" t="s">
        <v>175</v>
      </c>
      <c r="D76" t="s">
        <v>170</v>
      </c>
      <c r="E76">
        <v>287501.99600798404</v>
      </c>
      <c r="F76">
        <v>30</v>
      </c>
      <c r="G76" t="s">
        <v>697</v>
      </c>
      <c r="H76">
        <v>1</v>
      </c>
    </row>
    <row r="77" spans="1:8" x14ac:dyDescent="0.25">
      <c r="A77" s="26" t="s">
        <v>252</v>
      </c>
      <c r="B77" t="s">
        <v>23</v>
      </c>
      <c r="C77" t="s">
        <v>175</v>
      </c>
      <c r="D77" t="s">
        <v>170</v>
      </c>
      <c r="E77">
        <v>287501.99600798404</v>
      </c>
      <c r="F77">
        <v>30</v>
      </c>
      <c r="G77" t="s">
        <v>696</v>
      </c>
      <c r="H77">
        <v>1</v>
      </c>
    </row>
    <row r="78" spans="1:8" x14ac:dyDescent="0.25">
      <c r="A78" s="26" t="s">
        <v>253</v>
      </c>
      <c r="B78" t="s">
        <v>23</v>
      </c>
      <c r="C78" t="s">
        <v>175</v>
      </c>
      <c r="D78" t="s">
        <v>170</v>
      </c>
      <c r="E78">
        <v>287501.99600798404</v>
      </c>
      <c r="F78">
        <v>30</v>
      </c>
      <c r="G78" t="s">
        <v>697</v>
      </c>
      <c r="H78">
        <v>1</v>
      </c>
    </row>
    <row r="79" spans="1:8" x14ac:dyDescent="0.25">
      <c r="A79" s="26" t="s">
        <v>254</v>
      </c>
      <c r="B79" t="s">
        <v>23</v>
      </c>
      <c r="C79" t="s">
        <v>175</v>
      </c>
      <c r="D79" t="s">
        <v>170</v>
      </c>
      <c r="E79">
        <v>287501.99600798404</v>
      </c>
      <c r="F79">
        <v>30</v>
      </c>
      <c r="G79" t="s">
        <v>697</v>
      </c>
      <c r="H79">
        <v>1</v>
      </c>
    </row>
    <row r="80" spans="1:8" x14ac:dyDescent="0.25">
      <c r="A80" s="26" t="s">
        <v>255</v>
      </c>
      <c r="B80" t="s">
        <v>23</v>
      </c>
      <c r="C80" t="s">
        <v>175</v>
      </c>
      <c r="D80" t="s">
        <v>170</v>
      </c>
      <c r="E80">
        <v>287501.99600798404</v>
      </c>
      <c r="F80">
        <v>30</v>
      </c>
      <c r="G80" t="s">
        <v>697</v>
      </c>
      <c r="H80">
        <v>1</v>
      </c>
    </row>
    <row r="81" spans="1:8" x14ac:dyDescent="0.25">
      <c r="A81" s="26" t="s">
        <v>256</v>
      </c>
      <c r="B81" t="s">
        <v>23</v>
      </c>
      <c r="C81" t="s">
        <v>175</v>
      </c>
      <c r="D81" t="s">
        <v>170</v>
      </c>
      <c r="E81">
        <v>287501.99600798404</v>
      </c>
      <c r="F81">
        <v>30</v>
      </c>
      <c r="G81" t="s">
        <v>696</v>
      </c>
      <c r="H81">
        <v>1</v>
      </c>
    </row>
    <row r="82" spans="1:8" x14ac:dyDescent="0.25">
      <c r="A82" s="26" t="s">
        <v>257</v>
      </c>
      <c r="B82" t="s">
        <v>23</v>
      </c>
      <c r="C82" t="s">
        <v>175</v>
      </c>
      <c r="D82" t="s">
        <v>170</v>
      </c>
      <c r="E82">
        <v>287501.99600798404</v>
      </c>
      <c r="F82">
        <v>30</v>
      </c>
      <c r="G82" t="s">
        <v>696</v>
      </c>
      <c r="H82">
        <v>1</v>
      </c>
    </row>
    <row r="83" spans="1:8" x14ac:dyDescent="0.25">
      <c r="A83" s="26" t="s">
        <v>258</v>
      </c>
      <c r="B83" t="s">
        <v>23</v>
      </c>
      <c r="C83" t="s">
        <v>175</v>
      </c>
      <c r="D83" t="s">
        <v>170</v>
      </c>
      <c r="E83">
        <v>287501.99600798404</v>
      </c>
      <c r="F83">
        <v>30</v>
      </c>
      <c r="G83" t="s">
        <v>697</v>
      </c>
      <c r="H83">
        <v>1</v>
      </c>
    </row>
    <row r="84" spans="1:8" x14ac:dyDescent="0.25">
      <c r="A84" s="26" t="s">
        <v>259</v>
      </c>
      <c r="B84" t="s">
        <v>23</v>
      </c>
      <c r="C84" t="s">
        <v>175</v>
      </c>
      <c r="D84" t="s">
        <v>170</v>
      </c>
      <c r="E84">
        <v>287501.99600798404</v>
      </c>
      <c r="F84">
        <v>30</v>
      </c>
      <c r="G84" t="s">
        <v>698</v>
      </c>
      <c r="H84">
        <v>3</v>
      </c>
    </row>
    <row r="85" spans="1:8" x14ac:dyDescent="0.25">
      <c r="A85" s="26" t="s">
        <v>260</v>
      </c>
      <c r="B85" t="s">
        <v>23</v>
      </c>
      <c r="C85" t="s">
        <v>175</v>
      </c>
      <c r="D85" t="s">
        <v>170</v>
      </c>
      <c r="E85">
        <v>287501.99600798404</v>
      </c>
      <c r="F85">
        <v>30</v>
      </c>
      <c r="G85" t="s">
        <v>697</v>
      </c>
      <c r="H85">
        <v>2</v>
      </c>
    </row>
    <row r="86" spans="1:8" x14ac:dyDescent="0.25">
      <c r="A86" s="26" t="s">
        <v>261</v>
      </c>
      <c r="B86" t="s">
        <v>23</v>
      </c>
      <c r="C86" t="s">
        <v>175</v>
      </c>
      <c r="D86" t="s">
        <v>170</v>
      </c>
      <c r="E86">
        <v>287501.99600798404</v>
      </c>
      <c r="F86">
        <v>30</v>
      </c>
      <c r="G86" t="s">
        <v>697</v>
      </c>
      <c r="H86">
        <v>2</v>
      </c>
    </row>
    <row r="87" spans="1:8" x14ac:dyDescent="0.25">
      <c r="A87" s="26" t="s">
        <v>262</v>
      </c>
      <c r="B87" t="s">
        <v>23</v>
      </c>
      <c r="C87" t="s">
        <v>175</v>
      </c>
      <c r="D87" t="s">
        <v>170</v>
      </c>
      <c r="E87">
        <v>287501.99600798404</v>
      </c>
      <c r="F87">
        <v>30</v>
      </c>
      <c r="G87" t="s">
        <v>697</v>
      </c>
      <c r="H87">
        <v>1</v>
      </c>
    </row>
    <row r="88" spans="1:8" x14ac:dyDescent="0.25">
      <c r="A88" s="26" t="s">
        <v>263</v>
      </c>
      <c r="B88" t="s">
        <v>23</v>
      </c>
      <c r="C88" t="s">
        <v>175</v>
      </c>
      <c r="D88" t="s">
        <v>170</v>
      </c>
      <c r="E88">
        <v>287501.99600798404</v>
      </c>
      <c r="F88">
        <v>30</v>
      </c>
      <c r="G88" t="s">
        <v>696</v>
      </c>
      <c r="H88">
        <v>1</v>
      </c>
    </row>
    <row r="89" spans="1:8" x14ac:dyDescent="0.25">
      <c r="A89" s="26" t="s">
        <v>264</v>
      </c>
      <c r="B89" t="s">
        <v>23</v>
      </c>
      <c r="C89" t="s">
        <v>175</v>
      </c>
      <c r="D89" t="s">
        <v>170</v>
      </c>
      <c r="E89">
        <v>287501.99600798404</v>
      </c>
      <c r="F89">
        <v>30</v>
      </c>
      <c r="G89" t="s">
        <v>696</v>
      </c>
      <c r="H89">
        <v>1</v>
      </c>
    </row>
    <row r="90" spans="1:8" x14ac:dyDescent="0.25">
      <c r="A90" s="26" t="s">
        <v>265</v>
      </c>
      <c r="B90" t="s">
        <v>23</v>
      </c>
      <c r="C90" t="s">
        <v>175</v>
      </c>
      <c r="D90" t="s">
        <v>170</v>
      </c>
      <c r="E90">
        <v>287501.99600798404</v>
      </c>
      <c r="F90">
        <v>30</v>
      </c>
      <c r="G90" t="s">
        <v>697</v>
      </c>
      <c r="H90">
        <v>1</v>
      </c>
    </row>
    <row r="91" spans="1:8" x14ac:dyDescent="0.25">
      <c r="A91" s="26" t="s">
        <v>266</v>
      </c>
      <c r="B91" t="s">
        <v>23</v>
      </c>
      <c r="C91" t="s">
        <v>175</v>
      </c>
      <c r="D91" t="s">
        <v>170</v>
      </c>
      <c r="E91">
        <v>287501.99600798404</v>
      </c>
      <c r="F91">
        <v>30</v>
      </c>
      <c r="G91" t="s">
        <v>698</v>
      </c>
      <c r="H91">
        <v>1</v>
      </c>
    </row>
    <row r="92" spans="1:8" x14ac:dyDescent="0.25">
      <c r="A92" s="26" t="s">
        <v>267</v>
      </c>
      <c r="B92" t="s">
        <v>23</v>
      </c>
      <c r="C92" t="s">
        <v>175</v>
      </c>
      <c r="D92" t="s">
        <v>170</v>
      </c>
      <c r="E92">
        <v>272574.54191616771</v>
      </c>
      <c r="F92">
        <v>60</v>
      </c>
      <c r="G92" t="s">
        <v>130</v>
      </c>
      <c r="H92">
        <v>1</v>
      </c>
    </row>
    <row r="93" spans="1:8" x14ac:dyDescent="0.25">
      <c r="A93" s="26" t="s">
        <v>268</v>
      </c>
      <c r="B93" t="s">
        <v>23</v>
      </c>
      <c r="C93" t="s">
        <v>175</v>
      </c>
      <c r="D93" t="s">
        <v>170</v>
      </c>
      <c r="E93">
        <v>272574.54191616771</v>
      </c>
      <c r="F93">
        <v>60</v>
      </c>
      <c r="G93" t="s">
        <v>697</v>
      </c>
      <c r="H93">
        <v>2</v>
      </c>
    </row>
    <row r="94" spans="1:8" x14ac:dyDescent="0.25">
      <c r="A94" s="26" t="s">
        <v>269</v>
      </c>
      <c r="B94" t="s">
        <v>23</v>
      </c>
      <c r="C94" t="s">
        <v>175</v>
      </c>
      <c r="D94" t="s">
        <v>170</v>
      </c>
      <c r="E94">
        <v>272574.54191616771</v>
      </c>
      <c r="F94">
        <v>60</v>
      </c>
      <c r="G94" t="s">
        <v>698</v>
      </c>
      <c r="H94">
        <v>1</v>
      </c>
    </row>
    <row r="95" spans="1:8" x14ac:dyDescent="0.25">
      <c r="A95" s="26" t="s">
        <v>270</v>
      </c>
      <c r="B95" t="s">
        <v>23</v>
      </c>
      <c r="C95" t="s">
        <v>175</v>
      </c>
      <c r="D95" t="s">
        <v>170</v>
      </c>
      <c r="E95">
        <v>272574.54191616771</v>
      </c>
      <c r="F95">
        <v>60</v>
      </c>
      <c r="G95" t="s">
        <v>697</v>
      </c>
      <c r="H95">
        <v>1</v>
      </c>
    </row>
    <row r="96" spans="1:8" x14ac:dyDescent="0.25">
      <c r="A96" s="26" t="s">
        <v>271</v>
      </c>
      <c r="B96" t="s">
        <v>23</v>
      </c>
      <c r="C96" t="s">
        <v>175</v>
      </c>
      <c r="D96" t="s">
        <v>170</v>
      </c>
      <c r="E96">
        <v>272574.54191616771</v>
      </c>
      <c r="F96">
        <v>60</v>
      </c>
      <c r="G96" t="s">
        <v>697</v>
      </c>
      <c r="H96">
        <v>1</v>
      </c>
    </row>
    <row r="97" spans="1:8" x14ac:dyDescent="0.25">
      <c r="A97" s="26" t="s">
        <v>272</v>
      </c>
      <c r="B97" t="s">
        <v>23</v>
      </c>
      <c r="C97" t="s">
        <v>175</v>
      </c>
      <c r="D97" t="s">
        <v>170</v>
      </c>
      <c r="E97">
        <v>272574.54191616771</v>
      </c>
      <c r="F97">
        <v>60</v>
      </c>
      <c r="G97" t="s">
        <v>698</v>
      </c>
      <c r="H97">
        <v>1</v>
      </c>
    </row>
    <row r="98" spans="1:8" x14ac:dyDescent="0.25">
      <c r="A98" s="26" t="s">
        <v>273</v>
      </c>
      <c r="B98" t="s">
        <v>23</v>
      </c>
      <c r="C98" t="s">
        <v>175</v>
      </c>
      <c r="D98" t="s">
        <v>170</v>
      </c>
      <c r="E98">
        <v>272574.54191616771</v>
      </c>
      <c r="F98">
        <v>60</v>
      </c>
      <c r="G98" t="s">
        <v>697</v>
      </c>
      <c r="H98">
        <v>1</v>
      </c>
    </row>
    <row r="99" spans="1:8" x14ac:dyDescent="0.25">
      <c r="A99" s="26" t="s">
        <v>274</v>
      </c>
      <c r="B99" t="s">
        <v>23</v>
      </c>
      <c r="C99" t="s">
        <v>175</v>
      </c>
      <c r="D99" t="s">
        <v>170</v>
      </c>
      <c r="E99">
        <v>272574.54191616771</v>
      </c>
      <c r="F99">
        <v>60</v>
      </c>
      <c r="G99" t="s">
        <v>698</v>
      </c>
      <c r="H99">
        <v>1</v>
      </c>
    </row>
    <row r="100" spans="1:8" x14ac:dyDescent="0.25">
      <c r="A100" s="26" t="s">
        <v>275</v>
      </c>
      <c r="B100" t="s">
        <v>23</v>
      </c>
      <c r="C100" t="s">
        <v>175</v>
      </c>
      <c r="D100" t="s">
        <v>170</v>
      </c>
      <c r="E100">
        <v>272574.54191616771</v>
      </c>
      <c r="F100">
        <v>60</v>
      </c>
      <c r="G100" t="s">
        <v>696</v>
      </c>
      <c r="H100">
        <v>2</v>
      </c>
    </row>
    <row r="101" spans="1:8" x14ac:dyDescent="0.25">
      <c r="A101" s="26" t="s">
        <v>276</v>
      </c>
      <c r="B101" t="s">
        <v>23</v>
      </c>
      <c r="C101" t="s">
        <v>175</v>
      </c>
      <c r="D101" t="s">
        <v>170</v>
      </c>
      <c r="E101">
        <v>272574.54191616771</v>
      </c>
      <c r="F101">
        <v>60</v>
      </c>
      <c r="G101" t="s">
        <v>698</v>
      </c>
      <c r="H101">
        <v>1</v>
      </c>
    </row>
    <row r="102" spans="1:8" x14ac:dyDescent="0.25">
      <c r="A102" s="26" t="s">
        <v>277</v>
      </c>
      <c r="B102" t="s">
        <v>23</v>
      </c>
      <c r="C102" t="s">
        <v>175</v>
      </c>
      <c r="D102" t="s">
        <v>170</v>
      </c>
      <c r="E102">
        <v>272574.54191616771</v>
      </c>
      <c r="F102">
        <v>60</v>
      </c>
      <c r="G102" t="s">
        <v>696</v>
      </c>
      <c r="H102">
        <v>2</v>
      </c>
    </row>
    <row r="103" spans="1:8" x14ac:dyDescent="0.25">
      <c r="A103" s="26" t="s">
        <v>278</v>
      </c>
      <c r="B103" t="s">
        <v>23</v>
      </c>
      <c r="C103" t="s">
        <v>175</v>
      </c>
      <c r="D103" t="s">
        <v>170</v>
      </c>
      <c r="E103">
        <v>272574.54191616771</v>
      </c>
      <c r="F103">
        <v>60</v>
      </c>
      <c r="G103" t="s">
        <v>696</v>
      </c>
      <c r="H103">
        <v>2</v>
      </c>
    </row>
    <row r="104" spans="1:8" x14ac:dyDescent="0.25">
      <c r="A104" s="26" t="s">
        <v>279</v>
      </c>
      <c r="B104" t="s">
        <v>23</v>
      </c>
      <c r="C104" t="s">
        <v>175</v>
      </c>
      <c r="D104" t="s">
        <v>170</v>
      </c>
      <c r="E104">
        <v>272574.54191616771</v>
      </c>
      <c r="F104">
        <v>60</v>
      </c>
      <c r="G104" t="s">
        <v>696</v>
      </c>
      <c r="H104">
        <v>2</v>
      </c>
    </row>
    <row r="105" spans="1:8" x14ac:dyDescent="0.25">
      <c r="A105" s="26" t="s">
        <v>280</v>
      </c>
      <c r="B105" t="s">
        <v>23</v>
      </c>
      <c r="C105" t="s">
        <v>175</v>
      </c>
      <c r="D105" t="s">
        <v>170</v>
      </c>
      <c r="E105">
        <v>272574.54191616771</v>
      </c>
      <c r="F105">
        <v>60</v>
      </c>
      <c r="G105" t="s">
        <v>697</v>
      </c>
      <c r="H105">
        <v>1</v>
      </c>
    </row>
    <row r="106" spans="1:8" x14ac:dyDescent="0.25">
      <c r="A106" s="26" t="s">
        <v>281</v>
      </c>
      <c r="B106" t="s">
        <v>23</v>
      </c>
      <c r="C106" t="s">
        <v>175</v>
      </c>
      <c r="D106" t="s">
        <v>170</v>
      </c>
      <c r="E106">
        <v>272574.54191616771</v>
      </c>
      <c r="F106">
        <v>60</v>
      </c>
      <c r="G106" t="s">
        <v>697</v>
      </c>
      <c r="H106">
        <v>1</v>
      </c>
    </row>
    <row r="107" spans="1:8" x14ac:dyDescent="0.25">
      <c r="A107" s="26" t="s">
        <v>282</v>
      </c>
      <c r="B107" t="s">
        <v>23</v>
      </c>
      <c r="C107" t="s">
        <v>175</v>
      </c>
      <c r="D107" t="s">
        <v>170</v>
      </c>
      <c r="E107">
        <v>272574.54191616771</v>
      </c>
      <c r="F107">
        <v>60</v>
      </c>
      <c r="G107" t="s">
        <v>696</v>
      </c>
      <c r="H107">
        <v>1</v>
      </c>
    </row>
    <row r="108" spans="1:8" x14ac:dyDescent="0.25">
      <c r="A108" s="26" t="s">
        <v>283</v>
      </c>
      <c r="B108" t="s">
        <v>23</v>
      </c>
      <c r="C108" t="s">
        <v>175</v>
      </c>
      <c r="D108" t="s">
        <v>170</v>
      </c>
      <c r="E108">
        <v>272574.54191616771</v>
      </c>
      <c r="F108">
        <v>60</v>
      </c>
      <c r="G108" t="s">
        <v>698</v>
      </c>
      <c r="H108">
        <v>2</v>
      </c>
    </row>
    <row r="109" spans="1:8" x14ac:dyDescent="0.25">
      <c r="A109" s="26" t="s">
        <v>284</v>
      </c>
      <c r="B109" t="s">
        <v>23</v>
      </c>
      <c r="C109" t="s">
        <v>175</v>
      </c>
      <c r="D109" t="s">
        <v>170</v>
      </c>
      <c r="E109">
        <v>272574.54191616771</v>
      </c>
      <c r="F109">
        <v>60</v>
      </c>
      <c r="G109" t="s">
        <v>696</v>
      </c>
      <c r="H109">
        <v>1</v>
      </c>
    </row>
    <row r="110" spans="1:8" x14ac:dyDescent="0.25">
      <c r="A110" s="26" t="s">
        <v>285</v>
      </c>
      <c r="B110" t="s">
        <v>23</v>
      </c>
      <c r="C110" t="s">
        <v>175</v>
      </c>
      <c r="D110" t="s">
        <v>170</v>
      </c>
      <c r="E110">
        <v>272574.54191616771</v>
      </c>
      <c r="F110">
        <v>60</v>
      </c>
      <c r="G110" t="s">
        <v>696</v>
      </c>
      <c r="H110">
        <v>1</v>
      </c>
    </row>
    <row r="111" spans="1:8" x14ac:dyDescent="0.25">
      <c r="A111" s="26" t="s">
        <v>286</v>
      </c>
      <c r="B111" t="s">
        <v>23</v>
      </c>
      <c r="C111" t="s">
        <v>175</v>
      </c>
      <c r="D111" t="s">
        <v>170</v>
      </c>
      <c r="E111">
        <v>272574.54191616771</v>
      </c>
      <c r="F111">
        <v>60</v>
      </c>
      <c r="G111" t="s">
        <v>697</v>
      </c>
      <c r="H111">
        <v>1</v>
      </c>
    </row>
    <row r="112" spans="1:8" x14ac:dyDescent="0.25">
      <c r="A112" s="26" t="s">
        <v>287</v>
      </c>
      <c r="B112" t="s">
        <v>23</v>
      </c>
      <c r="C112" t="s">
        <v>175</v>
      </c>
      <c r="D112" t="s">
        <v>170</v>
      </c>
      <c r="E112">
        <v>272574.54191616771</v>
      </c>
      <c r="F112">
        <v>60</v>
      </c>
      <c r="G112" t="s">
        <v>696</v>
      </c>
      <c r="H112">
        <v>2</v>
      </c>
    </row>
    <row r="113" spans="1:8" x14ac:dyDescent="0.25">
      <c r="A113" s="26" t="s">
        <v>288</v>
      </c>
      <c r="B113" t="s">
        <v>23</v>
      </c>
      <c r="C113" t="s">
        <v>175</v>
      </c>
      <c r="D113" t="s">
        <v>170</v>
      </c>
      <c r="E113">
        <v>272574.54191616771</v>
      </c>
      <c r="F113">
        <v>60</v>
      </c>
      <c r="G113" t="s">
        <v>697</v>
      </c>
      <c r="H113">
        <v>1</v>
      </c>
    </row>
    <row r="114" spans="1:8" x14ac:dyDescent="0.25">
      <c r="A114" s="26" t="s">
        <v>289</v>
      </c>
      <c r="B114" t="s">
        <v>23</v>
      </c>
      <c r="C114" t="s">
        <v>175</v>
      </c>
      <c r="D114" t="s">
        <v>170</v>
      </c>
      <c r="E114">
        <v>272574.54191616771</v>
      </c>
      <c r="F114">
        <v>60</v>
      </c>
      <c r="G114" t="s">
        <v>697</v>
      </c>
      <c r="H114">
        <v>1</v>
      </c>
    </row>
    <row r="115" spans="1:8" x14ac:dyDescent="0.25">
      <c r="A115" s="26" t="s">
        <v>290</v>
      </c>
      <c r="B115" t="s">
        <v>23</v>
      </c>
      <c r="C115" t="s">
        <v>175</v>
      </c>
      <c r="D115" t="s">
        <v>170</v>
      </c>
      <c r="E115">
        <v>272574.54191616771</v>
      </c>
      <c r="F115">
        <v>60</v>
      </c>
      <c r="G115" t="s">
        <v>697</v>
      </c>
      <c r="H115">
        <v>1</v>
      </c>
    </row>
    <row r="116" spans="1:8" x14ac:dyDescent="0.25">
      <c r="A116" s="26" t="s">
        <v>291</v>
      </c>
      <c r="B116" t="s">
        <v>23</v>
      </c>
      <c r="C116" t="s">
        <v>175</v>
      </c>
      <c r="D116" t="s">
        <v>170</v>
      </c>
      <c r="E116">
        <v>272574.54191616771</v>
      </c>
      <c r="F116">
        <v>60</v>
      </c>
      <c r="G116" t="s">
        <v>697</v>
      </c>
      <c r="H116">
        <v>1</v>
      </c>
    </row>
    <row r="117" spans="1:8" x14ac:dyDescent="0.25">
      <c r="A117" s="26" t="s">
        <v>292</v>
      </c>
      <c r="B117" t="s">
        <v>23</v>
      </c>
      <c r="C117" t="s">
        <v>175</v>
      </c>
      <c r="D117" t="s">
        <v>170</v>
      </c>
      <c r="E117">
        <v>272574.54191616771</v>
      </c>
      <c r="F117">
        <v>60</v>
      </c>
      <c r="G117" t="s">
        <v>698</v>
      </c>
      <c r="H117">
        <v>2</v>
      </c>
    </row>
    <row r="118" spans="1:8" x14ac:dyDescent="0.25">
      <c r="A118" s="26" t="s">
        <v>293</v>
      </c>
      <c r="B118" t="s">
        <v>23</v>
      </c>
      <c r="C118" t="s">
        <v>175</v>
      </c>
      <c r="D118" t="s">
        <v>170</v>
      </c>
      <c r="E118">
        <v>272574.54191616771</v>
      </c>
      <c r="F118">
        <v>60</v>
      </c>
      <c r="G118" t="s">
        <v>697</v>
      </c>
      <c r="H118">
        <v>1</v>
      </c>
    </row>
    <row r="119" spans="1:8" x14ac:dyDescent="0.25">
      <c r="A119" s="26" t="s">
        <v>294</v>
      </c>
      <c r="B119" t="s">
        <v>23</v>
      </c>
      <c r="C119" t="s">
        <v>175</v>
      </c>
      <c r="D119" t="s">
        <v>170</v>
      </c>
      <c r="E119">
        <v>272574.54191616771</v>
      </c>
      <c r="F119">
        <v>60</v>
      </c>
      <c r="G119" t="s">
        <v>697</v>
      </c>
      <c r="H119">
        <v>3</v>
      </c>
    </row>
    <row r="120" spans="1:8" x14ac:dyDescent="0.25">
      <c r="A120" s="26" t="s">
        <v>295</v>
      </c>
      <c r="B120" t="s">
        <v>23</v>
      </c>
      <c r="C120" t="s">
        <v>175</v>
      </c>
      <c r="D120" t="s">
        <v>170</v>
      </c>
      <c r="E120">
        <v>272574.54191616771</v>
      </c>
      <c r="F120">
        <v>60</v>
      </c>
      <c r="G120" t="s">
        <v>696</v>
      </c>
      <c r="H120">
        <v>1</v>
      </c>
    </row>
    <row r="121" spans="1:8" x14ac:dyDescent="0.25">
      <c r="A121" s="26" t="s">
        <v>296</v>
      </c>
      <c r="B121" t="s">
        <v>23</v>
      </c>
      <c r="C121" t="s">
        <v>175</v>
      </c>
      <c r="D121" t="s">
        <v>170</v>
      </c>
      <c r="E121">
        <v>272574.54191616771</v>
      </c>
      <c r="F121">
        <v>60</v>
      </c>
      <c r="G121" t="s">
        <v>698</v>
      </c>
      <c r="H121">
        <v>1</v>
      </c>
    </row>
    <row r="122" spans="1:8" x14ac:dyDescent="0.25">
      <c r="A122" s="26" t="s">
        <v>297</v>
      </c>
      <c r="B122" t="s">
        <v>23</v>
      </c>
      <c r="C122" t="s">
        <v>175</v>
      </c>
      <c r="D122" t="s">
        <v>170</v>
      </c>
      <c r="E122">
        <v>216228.06586826348</v>
      </c>
      <c r="F122">
        <v>60</v>
      </c>
      <c r="G122" t="s">
        <v>696</v>
      </c>
      <c r="H122">
        <v>2</v>
      </c>
    </row>
    <row r="123" spans="1:8" x14ac:dyDescent="0.25">
      <c r="A123" s="26" t="s">
        <v>298</v>
      </c>
      <c r="B123" t="s">
        <v>23</v>
      </c>
      <c r="C123" t="s">
        <v>175</v>
      </c>
      <c r="D123" t="s">
        <v>170</v>
      </c>
      <c r="E123">
        <v>216228.06586826348</v>
      </c>
      <c r="F123">
        <v>60</v>
      </c>
      <c r="G123" t="s">
        <v>696</v>
      </c>
      <c r="H123">
        <v>1</v>
      </c>
    </row>
    <row r="124" spans="1:8" x14ac:dyDescent="0.25">
      <c r="A124" s="26" t="s">
        <v>299</v>
      </c>
      <c r="B124" t="s">
        <v>23</v>
      </c>
      <c r="C124" t="s">
        <v>175</v>
      </c>
      <c r="D124" t="s">
        <v>170</v>
      </c>
      <c r="E124">
        <v>216228.06586826348</v>
      </c>
      <c r="F124">
        <v>60</v>
      </c>
      <c r="G124" t="s">
        <v>696</v>
      </c>
      <c r="H124">
        <v>2</v>
      </c>
    </row>
    <row r="125" spans="1:8" x14ac:dyDescent="0.25">
      <c r="A125" s="26" t="s">
        <v>300</v>
      </c>
      <c r="B125" t="s">
        <v>23</v>
      </c>
      <c r="C125" t="s">
        <v>175</v>
      </c>
      <c r="D125" t="s">
        <v>170</v>
      </c>
      <c r="E125">
        <v>216228.06586826348</v>
      </c>
      <c r="F125">
        <v>60</v>
      </c>
      <c r="G125" t="s">
        <v>696</v>
      </c>
      <c r="H125">
        <v>2</v>
      </c>
    </row>
    <row r="126" spans="1:8" x14ac:dyDescent="0.25">
      <c r="A126" s="26" t="s">
        <v>301</v>
      </c>
      <c r="B126" t="s">
        <v>23</v>
      </c>
      <c r="C126" t="s">
        <v>175</v>
      </c>
      <c r="D126" t="s">
        <v>170</v>
      </c>
      <c r="E126">
        <v>216228.06586826348</v>
      </c>
      <c r="F126">
        <v>60</v>
      </c>
      <c r="G126" t="s">
        <v>697</v>
      </c>
      <c r="H126">
        <v>1</v>
      </c>
    </row>
    <row r="127" spans="1:8" x14ac:dyDescent="0.25">
      <c r="A127" s="26" t="s">
        <v>302</v>
      </c>
      <c r="B127" t="s">
        <v>23</v>
      </c>
      <c r="C127" t="s">
        <v>175</v>
      </c>
      <c r="D127" t="s">
        <v>170</v>
      </c>
      <c r="E127">
        <v>216228.06586826348</v>
      </c>
      <c r="F127">
        <v>60</v>
      </c>
      <c r="G127" t="s">
        <v>696</v>
      </c>
      <c r="H127">
        <v>1</v>
      </c>
    </row>
    <row r="128" spans="1:8" x14ac:dyDescent="0.25">
      <c r="A128" s="26" t="s">
        <v>303</v>
      </c>
      <c r="B128" t="s">
        <v>23</v>
      </c>
      <c r="C128" t="s">
        <v>175</v>
      </c>
      <c r="D128" t="s">
        <v>170</v>
      </c>
      <c r="E128">
        <v>216228.06586826348</v>
      </c>
      <c r="F128">
        <v>60</v>
      </c>
      <c r="G128" t="s">
        <v>696</v>
      </c>
      <c r="H128">
        <v>1</v>
      </c>
    </row>
    <row r="129" spans="1:8" x14ac:dyDescent="0.25">
      <c r="A129" s="26" t="s">
        <v>304</v>
      </c>
      <c r="B129" t="s">
        <v>23</v>
      </c>
      <c r="C129" t="s">
        <v>175</v>
      </c>
      <c r="D129" t="s">
        <v>170</v>
      </c>
      <c r="E129">
        <v>216228.06586826348</v>
      </c>
      <c r="F129">
        <v>60</v>
      </c>
      <c r="G129" t="s">
        <v>698</v>
      </c>
      <c r="H129">
        <v>2</v>
      </c>
    </row>
    <row r="130" spans="1:8" x14ac:dyDescent="0.25">
      <c r="A130" s="26" t="s">
        <v>305</v>
      </c>
      <c r="B130" t="s">
        <v>23</v>
      </c>
      <c r="C130" t="s">
        <v>175</v>
      </c>
      <c r="D130" t="s">
        <v>170</v>
      </c>
      <c r="E130">
        <v>216228.06586826348</v>
      </c>
      <c r="F130">
        <v>60</v>
      </c>
      <c r="G130" t="s">
        <v>697</v>
      </c>
      <c r="H130">
        <v>1</v>
      </c>
    </row>
    <row r="131" spans="1:8" x14ac:dyDescent="0.25">
      <c r="A131" s="26" t="s">
        <v>306</v>
      </c>
      <c r="B131" t="s">
        <v>23</v>
      </c>
      <c r="C131" t="s">
        <v>175</v>
      </c>
      <c r="D131" t="s">
        <v>170</v>
      </c>
      <c r="E131">
        <v>216228.06586826348</v>
      </c>
      <c r="F131">
        <v>60</v>
      </c>
      <c r="G131" t="s">
        <v>696</v>
      </c>
      <c r="H131">
        <v>1</v>
      </c>
    </row>
    <row r="132" spans="1:8" x14ac:dyDescent="0.25">
      <c r="A132" s="26" t="s">
        <v>307</v>
      </c>
      <c r="B132" t="s">
        <v>23</v>
      </c>
      <c r="C132" t="s">
        <v>175</v>
      </c>
      <c r="D132" t="s">
        <v>170</v>
      </c>
      <c r="E132">
        <v>216228.06586826348</v>
      </c>
      <c r="F132">
        <v>60</v>
      </c>
      <c r="G132" t="s">
        <v>697</v>
      </c>
      <c r="H132">
        <v>3</v>
      </c>
    </row>
    <row r="133" spans="1:8" x14ac:dyDescent="0.25">
      <c r="A133" s="26" t="s">
        <v>308</v>
      </c>
      <c r="B133" t="s">
        <v>23</v>
      </c>
      <c r="C133" t="s">
        <v>175</v>
      </c>
      <c r="D133" t="s">
        <v>170</v>
      </c>
      <c r="E133">
        <v>216228.06586826348</v>
      </c>
      <c r="F133">
        <v>60</v>
      </c>
      <c r="G133" t="s">
        <v>697</v>
      </c>
      <c r="H133">
        <v>1</v>
      </c>
    </row>
    <row r="134" spans="1:8" x14ac:dyDescent="0.25">
      <c r="A134" s="26" t="s">
        <v>309</v>
      </c>
      <c r="B134" t="s">
        <v>23</v>
      </c>
      <c r="C134" t="s">
        <v>175</v>
      </c>
      <c r="D134" t="s">
        <v>170</v>
      </c>
      <c r="E134">
        <v>216228.06586826348</v>
      </c>
      <c r="F134">
        <v>60</v>
      </c>
      <c r="G134" t="s">
        <v>696</v>
      </c>
      <c r="H134">
        <v>1</v>
      </c>
    </row>
    <row r="135" spans="1:8" x14ac:dyDescent="0.25">
      <c r="A135" s="26" t="s">
        <v>310</v>
      </c>
      <c r="B135" t="s">
        <v>23</v>
      </c>
      <c r="C135" t="s">
        <v>175</v>
      </c>
      <c r="D135" t="s">
        <v>170</v>
      </c>
      <c r="E135">
        <v>216228.06586826348</v>
      </c>
      <c r="F135">
        <v>60</v>
      </c>
      <c r="G135" t="s">
        <v>697</v>
      </c>
      <c r="H135">
        <v>1</v>
      </c>
    </row>
    <row r="136" spans="1:8" x14ac:dyDescent="0.25">
      <c r="A136" s="26" t="s">
        <v>311</v>
      </c>
      <c r="B136" t="s">
        <v>23</v>
      </c>
      <c r="C136" t="s">
        <v>175</v>
      </c>
      <c r="D136" t="s">
        <v>170</v>
      </c>
      <c r="E136">
        <v>216228.06586826348</v>
      </c>
      <c r="F136">
        <v>60</v>
      </c>
      <c r="G136" t="s">
        <v>698</v>
      </c>
      <c r="H136">
        <v>2</v>
      </c>
    </row>
    <row r="137" spans="1:8" x14ac:dyDescent="0.25">
      <c r="A137" s="26" t="s">
        <v>312</v>
      </c>
      <c r="B137" t="s">
        <v>23</v>
      </c>
      <c r="C137" t="s">
        <v>175</v>
      </c>
      <c r="D137" t="s">
        <v>170</v>
      </c>
      <c r="E137">
        <v>216228.06586826348</v>
      </c>
      <c r="F137">
        <v>60</v>
      </c>
      <c r="G137" t="s">
        <v>698</v>
      </c>
      <c r="H137">
        <v>2</v>
      </c>
    </row>
    <row r="138" spans="1:8" x14ac:dyDescent="0.25">
      <c r="A138" s="26" t="s">
        <v>313</v>
      </c>
      <c r="B138" t="s">
        <v>23</v>
      </c>
      <c r="C138" t="s">
        <v>175</v>
      </c>
      <c r="D138" t="s">
        <v>170</v>
      </c>
      <c r="E138">
        <v>216228.06586826348</v>
      </c>
      <c r="F138">
        <v>60</v>
      </c>
      <c r="G138" t="s">
        <v>697</v>
      </c>
      <c r="H138">
        <v>1</v>
      </c>
    </row>
    <row r="139" spans="1:8" x14ac:dyDescent="0.25">
      <c r="A139" s="26" t="s">
        <v>314</v>
      </c>
      <c r="B139" t="s">
        <v>23</v>
      </c>
      <c r="C139" t="s">
        <v>175</v>
      </c>
      <c r="D139" t="s">
        <v>170</v>
      </c>
      <c r="E139">
        <v>216228.06586826348</v>
      </c>
      <c r="F139">
        <v>60</v>
      </c>
      <c r="G139" t="s">
        <v>130</v>
      </c>
      <c r="H139">
        <v>2</v>
      </c>
    </row>
    <row r="140" spans="1:8" x14ac:dyDescent="0.25">
      <c r="A140" s="26" t="s">
        <v>315</v>
      </c>
      <c r="B140" t="s">
        <v>23</v>
      </c>
      <c r="C140" t="s">
        <v>175</v>
      </c>
      <c r="D140" t="s">
        <v>170</v>
      </c>
      <c r="E140">
        <v>216228.06586826348</v>
      </c>
      <c r="F140">
        <v>60</v>
      </c>
      <c r="G140" t="s">
        <v>697</v>
      </c>
      <c r="H140">
        <v>1</v>
      </c>
    </row>
    <row r="141" spans="1:8" x14ac:dyDescent="0.25">
      <c r="A141" s="26" t="s">
        <v>316</v>
      </c>
      <c r="B141" t="s">
        <v>23</v>
      </c>
      <c r="C141" t="s">
        <v>175</v>
      </c>
      <c r="D141" t="s">
        <v>170</v>
      </c>
      <c r="E141">
        <v>216228.06586826348</v>
      </c>
      <c r="F141">
        <v>60</v>
      </c>
      <c r="G141" t="s">
        <v>696</v>
      </c>
      <c r="H141">
        <v>1</v>
      </c>
    </row>
    <row r="142" spans="1:8" x14ac:dyDescent="0.25">
      <c r="A142" s="26" t="s">
        <v>317</v>
      </c>
      <c r="B142" t="s">
        <v>23</v>
      </c>
      <c r="C142" t="s">
        <v>175</v>
      </c>
      <c r="D142" t="s">
        <v>170</v>
      </c>
      <c r="E142">
        <v>216228.06586826348</v>
      </c>
      <c r="F142">
        <v>60</v>
      </c>
      <c r="G142" t="s">
        <v>697</v>
      </c>
      <c r="H142">
        <v>1</v>
      </c>
    </row>
    <row r="143" spans="1:8" x14ac:dyDescent="0.25">
      <c r="A143" s="26" t="s">
        <v>318</v>
      </c>
      <c r="B143" t="s">
        <v>23</v>
      </c>
      <c r="C143" t="s">
        <v>175</v>
      </c>
      <c r="D143" t="s">
        <v>170</v>
      </c>
      <c r="E143">
        <v>216228.06586826348</v>
      </c>
      <c r="F143">
        <v>60</v>
      </c>
      <c r="G143" t="s">
        <v>697</v>
      </c>
      <c r="H143">
        <v>2</v>
      </c>
    </row>
    <row r="144" spans="1:8" x14ac:dyDescent="0.25">
      <c r="A144" s="26" t="s">
        <v>319</v>
      </c>
      <c r="B144" t="s">
        <v>23</v>
      </c>
      <c r="C144" t="s">
        <v>175</v>
      </c>
      <c r="D144" t="s">
        <v>170</v>
      </c>
      <c r="E144">
        <v>216228.06586826348</v>
      </c>
      <c r="F144">
        <v>60</v>
      </c>
      <c r="G144" t="s">
        <v>697</v>
      </c>
      <c r="H144">
        <v>1</v>
      </c>
    </row>
    <row r="145" spans="1:8" x14ac:dyDescent="0.25">
      <c r="A145" s="26" t="s">
        <v>320</v>
      </c>
      <c r="B145" t="s">
        <v>23</v>
      </c>
      <c r="C145" t="s">
        <v>175</v>
      </c>
      <c r="D145" t="s">
        <v>170</v>
      </c>
      <c r="E145">
        <v>216228.06586826348</v>
      </c>
      <c r="F145">
        <v>60</v>
      </c>
      <c r="G145" t="s">
        <v>697</v>
      </c>
      <c r="H145">
        <v>1</v>
      </c>
    </row>
    <row r="146" spans="1:8" x14ac:dyDescent="0.25">
      <c r="A146" s="26" t="s">
        <v>321</v>
      </c>
      <c r="B146" t="s">
        <v>23</v>
      </c>
      <c r="C146" t="s">
        <v>175</v>
      </c>
      <c r="D146" t="s">
        <v>170</v>
      </c>
      <c r="E146">
        <v>216228.06586826348</v>
      </c>
      <c r="F146">
        <v>60</v>
      </c>
      <c r="G146" t="s">
        <v>697</v>
      </c>
      <c r="H146">
        <v>1</v>
      </c>
    </row>
    <row r="147" spans="1:8" x14ac:dyDescent="0.25">
      <c r="A147" s="26" t="s">
        <v>322</v>
      </c>
      <c r="B147" t="s">
        <v>23</v>
      </c>
      <c r="C147" t="s">
        <v>175</v>
      </c>
      <c r="D147" t="s">
        <v>170</v>
      </c>
      <c r="E147">
        <v>216228.06586826348</v>
      </c>
      <c r="F147">
        <v>60</v>
      </c>
      <c r="G147" t="s">
        <v>696</v>
      </c>
      <c r="H147">
        <v>2</v>
      </c>
    </row>
    <row r="148" spans="1:8" x14ac:dyDescent="0.25">
      <c r="A148" s="26" t="s">
        <v>323</v>
      </c>
      <c r="B148" t="s">
        <v>23</v>
      </c>
      <c r="C148" t="s">
        <v>175</v>
      </c>
      <c r="D148" t="s">
        <v>170</v>
      </c>
      <c r="E148">
        <v>216228.06586826348</v>
      </c>
      <c r="F148">
        <v>60</v>
      </c>
      <c r="G148" t="s">
        <v>696</v>
      </c>
      <c r="H148">
        <v>1</v>
      </c>
    </row>
    <row r="149" spans="1:8" x14ac:dyDescent="0.25">
      <c r="A149" s="26" t="s">
        <v>324</v>
      </c>
      <c r="B149" t="s">
        <v>23</v>
      </c>
      <c r="C149" t="s">
        <v>175</v>
      </c>
      <c r="D149" t="s">
        <v>170</v>
      </c>
      <c r="E149">
        <v>216228.06586826348</v>
      </c>
      <c r="F149">
        <v>60</v>
      </c>
      <c r="G149" t="s">
        <v>696</v>
      </c>
      <c r="H149">
        <v>1</v>
      </c>
    </row>
    <row r="150" spans="1:8" x14ac:dyDescent="0.25">
      <c r="A150" s="26" t="s">
        <v>325</v>
      </c>
      <c r="B150" t="s">
        <v>23</v>
      </c>
      <c r="C150" t="s">
        <v>175</v>
      </c>
      <c r="D150" t="s">
        <v>170</v>
      </c>
      <c r="E150">
        <v>216228.06586826348</v>
      </c>
      <c r="F150">
        <v>60</v>
      </c>
      <c r="G150" t="s">
        <v>698</v>
      </c>
      <c r="H150">
        <v>2</v>
      </c>
    </row>
    <row r="151" spans="1:8" x14ac:dyDescent="0.25">
      <c r="A151" s="26" t="s">
        <v>326</v>
      </c>
      <c r="B151" t="s">
        <v>23</v>
      </c>
      <c r="C151" t="s">
        <v>175</v>
      </c>
      <c r="D151" t="s">
        <v>170</v>
      </c>
      <c r="E151">
        <v>216228.06586826348</v>
      </c>
      <c r="F151">
        <v>60</v>
      </c>
      <c r="G151" t="s">
        <v>130</v>
      </c>
      <c r="H151">
        <v>1</v>
      </c>
    </row>
    <row r="152" spans="1:8" x14ac:dyDescent="0.25">
      <c r="A152" s="26" t="s">
        <v>327</v>
      </c>
      <c r="B152" t="s">
        <v>23</v>
      </c>
      <c r="C152" t="s">
        <v>175</v>
      </c>
      <c r="D152" t="s">
        <v>170</v>
      </c>
      <c r="E152">
        <v>274154.49786141998</v>
      </c>
      <c r="F152">
        <v>60</v>
      </c>
      <c r="G152" t="s">
        <v>698</v>
      </c>
      <c r="H152">
        <v>2</v>
      </c>
    </row>
    <row r="153" spans="1:8" x14ac:dyDescent="0.25">
      <c r="A153" s="26" t="s">
        <v>328</v>
      </c>
      <c r="B153" t="s">
        <v>23</v>
      </c>
      <c r="C153" t="s">
        <v>175</v>
      </c>
      <c r="D153" t="s">
        <v>170</v>
      </c>
      <c r="E153">
        <v>274154.49786141998</v>
      </c>
      <c r="F153">
        <v>60</v>
      </c>
      <c r="G153" t="s">
        <v>698</v>
      </c>
      <c r="H153">
        <v>2</v>
      </c>
    </row>
    <row r="154" spans="1:8" x14ac:dyDescent="0.25">
      <c r="A154" s="26" t="s">
        <v>329</v>
      </c>
      <c r="B154" t="s">
        <v>23</v>
      </c>
      <c r="C154" t="s">
        <v>175</v>
      </c>
      <c r="D154" t="s">
        <v>170</v>
      </c>
      <c r="E154">
        <v>274154.49786141998</v>
      </c>
      <c r="F154">
        <v>60</v>
      </c>
      <c r="G154" t="s">
        <v>698</v>
      </c>
      <c r="H154">
        <v>1</v>
      </c>
    </row>
    <row r="155" spans="1:8" x14ac:dyDescent="0.25">
      <c r="A155" s="26" t="s">
        <v>330</v>
      </c>
      <c r="B155" t="s">
        <v>23</v>
      </c>
      <c r="C155" t="s">
        <v>175</v>
      </c>
      <c r="D155" t="s">
        <v>170</v>
      </c>
      <c r="E155">
        <v>274154.49786141998</v>
      </c>
      <c r="F155">
        <v>60</v>
      </c>
      <c r="G155" t="s">
        <v>697</v>
      </c>
      <c r="H155">
        <v>1</v>
      </c>
    </row>
    <row r="156" spans="1:8" x14ac:dyDescent="0.25">
      <c r="A156" s="26" t="s">
        <v>331</v>
      </c>
      <c r="B156" t="s">
        <v>23</v>
      </c>
      <c r="C156" t="s">
        <v>175</v>
      </c>
      <c r="D156" t="s">
        <v>170</v>
      </c>
      <c r="E156">
        <v>274154.49786141998</v>
      </c>
      <c r="F156">
        <v>60</v>
      </c>
      <c r="G156" t="s">
        <v>698</v>
      </c>
      <c r="H156">
        <v>2</v>
      </c>
    </row>
    <row r="157" spans="1:8" x14ac:dyDescent="0.25">
      <c r="A157" s="26" t="s">
        <v>332</v>
      </c>
      <c r="B157" t="s">
        <v>23</v>
      </c>
      <c r="C157" t="s">
        <v>175</v>
      </c>
      <c r="D157" t="s">
        <v>170</v>
      </c>
      <c r="E157">
        <v>274154.49786141998</v>
      </c>
      <c r="F157">
        <v>60</v>
      </c>
      <c r="G157" t="s">
        <v>697</v>
      </c>
      <c r="H157">
        <v>1</v>
      </c>
    </row>
    <row r="158" spans="1:8" x14ac:dyDescent="0.25">
      <c r="A158" s="26" t="s">
        <v>333</v>
      </c>
      <c r="B158" t="s">
        <v>23</v>
      </c>
      <c r="C158" t="s">
        <v>175</v>
      </c>
      <c r="D158" t="s">
        <v>170</v>
      </c>
      <c r="E158">
        <v>274154.49786141998</v>
      </c>
      <c r="F158">
        <v>60</v>
      </c>
      <c r="G158" t="s">
        <v>697</v>
      </c>
      <c r="H158">
        <v>1</v>
      </c>
    </row>
    <row r="159" spans="1:8" x14ac:dyDescent="0.25">
      <c r="A159" s="26" t="s">
        <v>334</v>
      </c>
      <c r="B159" t="s">
        <v>23</v>
      </c>
      <c r="C159" t="s">
        <v>175</v>
      </c>
      <c r="D159" t="s">
        <v>170</v>
      </c>
      <c r="E159">
        <v>274154.49786141998</v>
      </c>
      <c r="F159">
        <v>60</v>
      </c>
      <c r="G159" t="s">
        <v>696</v>
      </c>
      <c r="H159">
        <v>2</v>
      </c>
    </row>
    <row r="160" spans="1:8" x14ac:dyDescent="0.25">
      <c r="A160" s="26" t="s">
        <v>335</v>
      </c>
      <c r="B160" t="s">
        <v>23</v>
      </c>
      <c r="C160" t="s">
        <v>175</v>
      </c>
      <c r="D160" t="s">
        <v>170</v>
      </c>
      <c r="E160">
        <v>274154.49786141998</v>
      </c>
      <c r="F160">
        <v>60</v>
      </c>
      <c r="G160" t="s">
        <v>696</v>
      </c>
      <c r="H160">
        <v>1</v>
      </c>
    </row>
    <row r="161" spans="1:8" x14ac:dyDescent="0.25">
      <c r="A161" s="26" t="s">
        <v>336</v>
      </c>
      <c r="B161" t="s">
        <v>23</v>
      </c>
      <c r="C161" t="s">
        <v>175</v>
      </c>
      <c r="D161" t="s">
        <v>170</v>
      </c>
      <c r="E161">
        <v>274154.49786141998</v>
      </c>
      <c r="F161">
        <v>60</v>
      </c>
      <c r="G161" t="s">
        <v>697</v>
      </c>
      <c r="H161">
        <v>1</v>
      </c>
    </row>
    <row r="162" spans="1:8" x14ac:dyDescent="0.25">
      <c r="A162" s="26" t="s">
        <v>337</v>
      </c>
      <c r="B162" t="s">
        <v>23</v>
      </c>
      <c r="C162" t="s">
        <v>175</v>
      </c>
      <c r="D162" t="s">
        <v>170</v>
      </c>
      <c r="E162">
        <v>274154.49786141998</v>
      </c>
      <c r="F162">
        <v>60</v>
      </c>
      <c r="G162" t="s">
        <v>697</v>
      </c>
      <c r="H162">
        <v>1</v>
      </c>
    </row>
    <row r="163" spans="1:8" x14ac:dyDescent="0.25">
      <c r="A163" s="26" t="s">
        <v>338</v>
      </c>
      <c r="B163" t="s">
        <v>23</v>
      </c>
      <c r="C163" t="s">
        <v>175</v>
      </c>
      <c r="D163" t="s">
        <v>170</v>
      </c>
      <c r="E163">
        <v>274154.49786141998</v>
      </c>
      <c r="F163">
        <v>60</v>
      </c>
      <c r="G163" t="s">
        <v>697</v>
      </c>
      <c r="H163">
        <v>1</v>
      </c>
    </row>
    <row r="164" spans="1:8" x14ac:dyDescent="0.25">
      <c r="A164" s="26" t="s">
        <v>339</v>
      </c>
      <c r="B164" t="s">
        <v>23</v>
      </c>
      <c r="C164" t="s">
        <v>175</v>
      </c>
      <c r="D164" t="s">
        <v>170</v>
      </c>
      <c r="E164">
        <v>274154.49786141998</v>
      </c>
      <c r="F164">
        <v>60</v>
      </c>
      <c r="G164" t="s">
        <v>696</v>
      </c>
      <c r="H164">
        <v>1</v>
      </c>
    </row>
    <row r="165" spans="1:8" x14ac:dyDescent="0.25">
      <c r="A165" s="26" t="s">
        <v>340</v>
      </c>
      <c r="B165" t="s">
        <v>23</v>
      </c>
      <c r="C165" t="s">
        <v>175</v>
      </c>
      <c r="D165" t="s">
        <v>170</v>
      </c>
      <c r="E165">
        <v>274154.49786141998</v>
      </c>
      <c r="F165">
        <v>60</v>
      </c>
      <c r="G165" t="s">
        <v>697</v>
      </c>
      <c r="H165">
        <v>1</v>
      </c>
    </row>
    <row r="166" spans="1:8" x14ac:dyDescent="0.25">
      <c r="A166" s="26" t="s">
        <v>341</v>
      </c>
      <c r="B166" t="s">
        <v>23</v>
      </c>
      <c r="C166" t="s">
        <v>175</v>
      </c>
      <c r="D166" t="s">
        <v>170</v>
      </c>
      <c r="E166">
        <v>274154.49786141998</v>
      </c>
      <c r="F166">
        <v>60</v>
      </c>
      <c r="G166" t="s">
        <v>696</v>
      </c>
      <c r="H166">
        <v>1</v>
      </c>
    </row>
    <row r="167" spans="1:8" x14ac:dyDescent="0.25">
      <c r="A167" s="26" t="s">
        <v>342</v>
      </c>
      <c r="B167" t="s">
        <v>23</v>
      </c>
      <c r="C167" t="s">
        <v>175</v>
      </c>
      <c r="D167" t="s">
        <v>170</v>
      </c>
      <c r="E167">
        <v>274154.49786141998</v>
      </c>
      <c r="F167">
        <v>60</v>
      </c>
      <c r="G167" t="s">
        <v>696</v>
      </c>
      <c r="H167">
        <v>1</v>
      </c>
    </row>
    <row r="168" spans="1:8" x14ac:dyDescent="0.25">
      <c r="A168" s="26" t="s">
        <v>343</v>
      </c>
      <c r="B168" t="s">
        <v>23</v>
      </c>
      <c r="C168" t="s">
        <v>175</v>
      </c>
      <c r="D168" t="s">
        <v>170</v>
      </c>
      <c r="E168">
        <v>274154.49786141998</v>
      </c>
      <c r="F168">
        <v>60</v>
      </c>
      <c r="G168" t="s">
        <v>697</v>
      </c>
      <c r="H168">
        <v>1</v>
      </c>
    </row>
    <row r="169" spans="1:8" x14ac:dyDescent="0.25">
      <c r="A169" s="26" t="s">
        <v>344</v>
      </c>
      <c r="B169" t="s">
        <v>23</v>
      </c>
      <c r="C169" t="s">
        <v>175</v>
      </c>
      <c r="D169" t="s">
        <v>170</v>
      </c>
      <c r="E169">
        <v>274154.49786141998</v>
      </c>
      <c r="F169">
        <v>60</v>
      </c>
      <c r="G169" t="s">
        <v>697</v>
      </c>
      <c r="H169">
        <v>1</v>
      </c>
    </row>
    <row r="170" spans="1:8" x14ac:dyDescent="0.25">
      <c r="A170" s="26" t="s">
        <v>345</v>
      </c>
      <c r="B170" t="s">
        <v>23</v>
      </c>
      <c r="C170" t="s">
        <v>175</v>
      </c>
      <c r="D170" t="s">
        <v>170</v>
      </c>
      <c r="E170">
        <v>274154.49786141998</v>
      </c>
      <c r="F170">
        <v>60</v>
      </c>
      <c r="G170" t="s">
        <v>696</v>
      </c>
      <c r="H170">
        <v>1</v>
      </c>
    </row>
    <row r="171" spans="1:8" x14ac:dyDescent="0.25">
      <c r="A171" s="26" t="s">
        <v>346</v>
      </c>
      <c r="B171" t="s">
        <v>23</v>
      </c>
      <c r="C171" t="s">
        <v>175</v>
      </c>
      <c r="D171" t="s">
        <v>170</v>
      </c>
      <c r="E171">
        <v>274154.49786141998</v>
      </c>
      <c r="F171">
        <v>60</v>
      </c>
      <c r="G171" t="s">
        <v>696</v>
      </c>
      <c r="H171">
        <v>1</v>
      </c>
    </row>
    <row r="172" spans="1:8" x14ac:dyDescent="0.25">
      <c r="A172" s="26" t="s">
        <v>347</v>
      </c>
      <c r="B172" t="s">
        <v>23</v>
      </c>
      <c r="C172" t="s">
        <v>175</v>
      </c>
      <c r="D172" t="s">
        <v>170</v>
      </c>
      <c r="E172">
        <v>274154.49786141998</v>
      </c>
      <c r="F172">
        <v>60</v>
      </c>
      <c r="G172" t="s">
        <v>696</v>
      </c>
      <c r="H172">
        <v>1</v>
      </c>
    </row>
    <row r="173" spans="1:8" x14ac:dyDescent="0.25">
      <c r="A173" s="26" t="s">
        <v>348</v>
      </c>
      <c r="B173" t="s">
        <v>23</v>
      </c>
      <c r="C173" t="s">
        <v>175</v>
      </c>
      <c r="D173" t="s">
        <v>170</v>
      </c>
      <c r="E173">
        <v>274154.49786141998</v>
      </c>
      <c r="F173">
        <v>60</v>
      </c>
      <c r="G173" t="s">
        <v>697</v>
      </c>
      <c r="H173">
        <v>1</v>
      </c>
    </row>
    <row r="174" spans="1:8" x14ac:dyDescent="0.25">
      <c r="A174" s="26" t="s">
        <v>349</v>
      </c>
      <c r="B174" t="s">
        <v>23</v>
      </c>
      <c r="C174" t="s">
        <v>175</v>
      </c>
      <c r="D174" t="s">
        <v>170</v>
      </c>
      <c r="E174">
        <v>274154.49786141998</v>
      </c>
      <c r="F174">
        <v>60</v>
      </c>
      <c r="G174" t="s">
        <v>130</v>
      </c>
      <c r="H174">
        <v>1</v>
      </c>
    </row>
    <row r="175" spans="1:8" x14ac:dyDescent="0.25">
      <c r="A175" s="26" t="s">
        <v>350</v>
      </c>
      <c r="B175" t="s">
        <v>23</v>
      </c>
      <c r="C175" t="s">
        <v>175</v>
      </c>
      <c r="D175" t="s">
        <v>170</v>
      </c>
      <c r="E175">
        <v>274154.49786141998</v>
      </c>
      <c r="F175">
        <v>60</v>
      </c>
      <c r="G175" t="s">
        <v>696</v>
      </c>
      <c r="H175">
        <v>1</v>
      </c>
    </row>
    <row r="176" spans="1:8" x14ac:dyDescent="0.25">
      <c r="A176" s="26" t="s">
        <v>351</v>
      </c>
      <c r="B176" t="s">
        <v>23</v>
      </c>
      <c r="C176" t="s">
        <v>175</v>
      </c>
      <c r="D176" t="s">
        <v>170</v>
      </c>
      <c r="E176">
        <v>274154.49786141998</v>
      </c>
      <c r="F176">
        <v>60</v>
      </c>
      <c r="G176" t="s">
        <v>696</v>
      </c>
      <c r="H176">
        <v>1</v>
      </c>
    </row>
    <row r="177" spans="1:8" x14ac:dyDescent="0.25">
      <c r="A177" s="26" t="s">
        <v>352</v>
      </c>
      <c r="B177" t="s">
        <v>23</v>
      </c>
      <c r="C177" t="s">
        <v>175</v>
      </c>
      <c r="D177" t="s">
        <v>170</v>
      </c>
      <c r="E177">
        <v>274154.49786141998</v>
      </c>
      <c r="F177">
        <v>60</v>
      </c>
      <c r="G177" t="s">
        <v>697</v>
      </c>
      <c r="H177">
        <v>1</v>
      </c>
    </row>
    <row r="178" spans="1:8" x14ac:dyDescent="0.25">
      <c r="A178" s="26" t="s">
        <v>353</v>
      </c>
      <c r="B178" t="s">
        <v>23</v>
      </c>
      <c r="C178" t="s">
        <v>175</v>
      </c>
      <c r="D178" t="s">
        <v>170</v>
      </c>
      <c r="E178">
        <v>274154.49786141998</v>
      </c>
      <c r="F178">
        <v>60</v>
      </c>
      <c r="G178" t="s">
        <v>697</v>
      </c>
      <c r="H178">
        <v>1</v>
      </c>
    </row>
    <row r="179" spans="1:8" x14ac:dyDescent="0.25">
      <c r="A179" s="26" t="s">
        <v>354</v>
      </c>
      <c r="B179" t="s">
        <v>23</v>
      </c>
      <c r="C179" t="s">
        <v>175</v>
      </c>
      <c r="D179" t="s">
        <v>170</v>
      </c>
      <c r="E179">
        <v>274154.49786141998</v>
      </c>
      <c r="F179">
        <v>60</v>
      </c>
      <c r="G179" t="s">
        <v>697</v>
      </c>
      <c r="H179">
        <v>1</v>
      </c>
    </row>
    <row r="180" spans="1:8" x14ac:dyDescent="0.25">
      <c r="A180" s="26" t="s">
        <v>355</v>
      </c>
      <c r="B180" t="s">
        <v>23</v>
      </c>
      <c r="C180" t="s">
        <v>175</v>
      </c>
      <c r="D180" t="s">
        <v>170</v>
      </c>
      <c r="E180">
        <v>274154.49786141998</v>
      </c>
      <c r="F180">
        <v>60</v>
      </c>
      <c r="G180" t="s">
        <v>696</v>
      </c>
      <c r="H180">
        <v>1</v>
      </c>
    </row>
    <row r="181" spans="1:8" x14ac:dyDescent="0.25">
      <c r="A181" s="26" t="s">
        <v>356</v>
      </c>
      <c r="B181" t="s">
        <v>23</v>
      </c>
      <c r="C181" t="s">
        <v>175</v>
      </c>
      <c r="D181" t="s">
        <v>170</v>
      </c>
      <c r="E181">
        <v>274154.49786141998</v>
      </c>
      <c r="F181">
        <v>60</v>
      </c>
      <c r="G181" t="s">
        <v>130</v>
      </c>
      <c r="H181">
        <v>1</v>
      </c>
    </row>
    <row r="182" spans="1:8" x14ac:dyDescent="0.25">
      <c r="A182" t="s">
        <v>699</v>
      </c>
      <c r="B182" t="s">
        <v>6</v>
      </c>
      <c r="C182" t="s">
        <v>408</v>
      </c>
      <c r="D182" t="s">
        <v>170</v>
      </c>
      <c r="E182">
        <v>324802.39520958083</v>
      </c>
      <c r="F182">
        <v>30</v>
      </c>
      <c r="G182" t="s">
        <v>697</v>
      </c>
      <c r="H182">
        <v>1</v>
      </c>
    </row>
    <row r="183" spans="1:8" x14ac:dyDescent="0.25">
      <c r="A183" t="s">
        <v>700</v>
      </c>
      <c r="B183" t="s">
        <v>6</v>
      </c>
      <c r="C183" t="s">
        <v>408</v>
      </c>
      <c r="D183" t="s">
        <v>170</v>
      </c>
      <c r="E183">
        <v>324802.39520958083</v>
      </c>
      <c r="F183">
        <v>30</v>
      </c>
      <c r="G183" t="s">
        <v>697</v>
      </c>
      <c r="H183">
        <v>1</v>
      </c>
    </row>
    <row r="184" spans="1:8" x14ac:dyDescent="0.25">
      <c r="A184" t="s">
        <v>701</v>
      </c>
      <c r="B184" t="s">
        <v>6</v>
      </c>
      <c r="C184" t="s">
        <v>408</v>
      </c>
      <c r="D184" t="s">
        <v>170</v>
      </c>
      <c r="E184">
        <v>324802.39520958083</v>
      </c>
      <c r="F184">
        <v>30</v>
      </c>
      <c r="G184" t="s">
        <v>697</v>
      </c>
      <c r="H184">
        <v>1</v>
      </c>
    </row>
    <row r="185" spans="1:8" x14ac:dyDescent="0.25">
      <c r="A185" t="s">
        <v>702</v>
      </c>
      <c r="B185" t="s">
        <v>6</v>
      </c>
      <c r="C185" t="s">
        <v>408</v>
      </c>
      <c r="D185" t="s">
        <v>170</v>
      </c>
      <c r="E185">
        <v>324802.39520958083</v>
      </c>
      <c r="F185">
        <v>30</v>
      </c>
      <c r="G185" t="s">
        <v>697</v>
      </c>
      <c r="H185">
        <v>1</v>
      </c>
    </row>
    <row r="186" spans="1:8" x14ac:dyDescent="0.25">
      <c r="A186" t="s">
        <v>703</v>
      </c>
      <c r="B186" t="s">
        <v>6</v>
      </c>
      <c r="C186" t="s">
        <v>408</v>
      </c>
      <c r="D186" t="s">
        <v>170</v>
      </c>
      <c r="E186">
        <v>324802.39520958083</v>
      </c>
      <c r="F186">
        <v>30</v>
      </c>
      <c r="G186" t="s">
        <v>696</v>
      </c>
      <c r="H186">
        <v>1</v>
      </c>
    </row>
    <row r="187" spans="1:8" x14ac:dyDescent="0.25">
      <c r="A187" t="s">
        <v>704</v>
      </c>
      <c r="B187" t="s">
        <v>6</v>
      </c>
      <c r="C187" t="s">
        <v>408</v>
      </c>
      <c r="D187" t="s">
        <v>170</v>
      </c>
      <c r="E187">
        <v>324802.39520958083</v>
      </c>
      <c r="F187">
        <v>30</v>
      </c>
      <c r="G187" t="s">
        <v>130</v>
      </c>
      <c r="H187">
        <v>1</v>
      </c>
    </row>
    <row r="188" spans="1:8" x14ac:dyDescent="0.25">
      <c r="A188" t="s">
        <v>705</v>
      </c>
      <c r="B188" t="s">
        <v>6</v>
      </c>
      <c r="C188" t="s">
        <v>408</v>
      </c>
      <c r="D188" t="s">
        <v>170</v>
      </c>
      <c r="E188">
        <v>324802.39520958083</v>
      </c>
      <c r="F188">
        <v>30</v>
      </c>
      <c r="G188" t="s">
        <v>697</v>
      </c>
      <c r="H188">
        <v>1</v>
      </c>
    </row>
    <row r="189" spans="1:8" x14ac:dyDescent="0.25">
      <c r="A189" t="s">
        <v>706</v>
      </c>
      <c r="B189" t="s">
        <v>6</v>
      </c>
      <c r="C189" t="s">
        <v>408</v>
      </c>
      <c r="D189" t="s">
        <v>170</v>
      </c>
      <c r="E189">
        <v>324802.39520958083</v>
      </c>
      <c r="F189">
        <v>30</v>
      </c>
      <c r="G189" t="s">
        <v>697</v>
      </c>
      <c r="H189">
        <v>1</v>
      </c>
    </row>
    <row r="190" spans="1:8" x14ac:dyDescent="0.25">
      <c r="A190" t="s">
        <v>707</v>
      </c>
      <c r="B190" t="s">
        <v>6</v>
      </c>
      <c r="C190" t="s">
        <v>408</v>
      </c>
      <c r="D190" t="s">
        <v>170</v>
      </c>
      <c r="E190">
        <v>324802.39520958083</v>
      </c>
      <c r="F190">
        <v>30</v>
      </c>
      <c r="G190" t="s">
        <v>697</v>
      </c>
      <c r="H190">
        <v>1</v>
      </c>
    </row>
    <row r="191" spans="1:8" x14ac:dyDescent="0.25">
      <c r="A191" t="s">
        <v>708</v>
      </c>
      <c r="B191" t="s">
        <v>6</v>
      </c>
      <c r="C191" t="s">
        <v>408</v>
      </c>
      <c r="D191" t="s">
        <v>170</v>
      </c>
      <c r="E191">
        <v>324802.39520958083</v>
      </c>
      <c r="F191">
        <v>30</v>
      </c>
      <c r="G191" t="s">
        <v>697</v>
      </c>
      <c r="H191">
        <v>1</v>
      </c>
    </row>
    <row r="192" spans="1:8" x14ac:dyDescent="0.25">
      <c r="A192" t="s">
        <v>709</v>
      </c>
      <c r="B192" t="s">
        <v>6</v>
      </c>
      <c r="C192" t="s">
        <v>408</v>
      </c>
      <c r="D192" t="s">
        <v>170</v>
      </c>
      <c r="E192">
        <v>324802.39520958083</v>
      </c>
      <c r="F192">
        <v>30</v>
      </c>
      <c r="G192" t="s">
        <v>698</v>
      </c>
      <c r="H192">
        <v>1</v>
      </c>
    </row>
    <row r="193" spans="1:8" x14ac:dyDescent="0.25">
      <c r="A193" t="s">
        <v>710</v>
      </c>
      <c r="B193" t="s">
        <v>6</v>
      </c>
      <c r="C193" t="s">
        <v>408</v>
      </c>
      <c r="D193" t="s">
        <v>170</v>
      </c>
      <c r="E193">
        <v>324802.39520958083</v>
      </c>
      <c r="F193">
        <v>30</v>
      </c>
      <c r="G193" t="s">
        <v>697</v>
      </c>
      <c r="H193">
        <v>1</v>
      </c>
    </row>
    <row r="194" spans="1:8" x14ac:dyDescent="0.25">
      <c r="A194" t="s">
        <v>711</v>
      </c>
      <c r="B194" t="s">
        <v>6</v>
      </c>
      <c r="C194" t="s">
        <v>408</v>
      </c>
      <c r="D194" t="s">
        <v>170</v>
      </c>
      <c r="E194">
        <v>324802.39520958083</v>
      </c>
      <c r="F194">
        <v>30</v>
      </c>
      <c r="G194" t="s">
        <v>697</v>
      </c>
      <c r="H194">
        <v>1</v>
      </c>
    </row>
    <row r="195" spans="1:8" x14ac:dyDescent="0.25">
      <c r="A195" t="s">
        <v>712</v>
      </c>
      <c r="B195" t="s">
        <v>6</v>
      </c>
      <c r="C195" t="s">
        <v>408</v>
      </c>
      <c r="D195" t="s">
        <v>170</v>
      </c>
      <c r="E195">
        <v>324802.39520958083</v>
      </c>
      <c r="F195">
        <v>30</v>
      </c>
      <c r="G195" t="s">
        <v>697</v>
      </c>
      <c r="H195">
        <v>1</v>
      </c>
    </row>
    <row r="196" spans="1:8" x14ac:dyDescent="0.25">
      <c r="A196" t="s">
        <v>713</v>
      </c>
      <c r="B196" t="s">
        <v>6</v>
      </c>
      <c r="C196" t="s">
        <v>408</v>
      </c>
      <c r="D196" t="s">
        <v>170</v>
      </c>
      <c r="E196">
        <v>324802.39520958083</v>
      </c>
      <c r="F196">
        <v>30</v>
      </c>
      <c r="G196" t="s">
        <v>697</v>
      </c>
      <c r="H196">
        <v>1</v>
      </c>
    </row>
    <row r="197" spans="1:8" x14ac:dyDescent="0.25">
      <c r="A197" t="s">
        <v>714</v>
      </c>
      <c r="B197" t="s">
        <v>6</v>
      </c>
      <c r="C197" t="s">
        <v>408</v>
      </c>
      <c r="D197" t="s">
        <v>170</v>
      </c>
      <c r="E197">
        <v>324802.39520958083</v>
      </c>
      <c r="F197">
        <v>30</v>
      </c>
      <c r="G197" t="s">
        <v>697</v>
      </c>
      <c r="H197">
        <v>1</v>
      </c>
    </row>
    <row r="198" spans="1:8" x14ac:dyDescent="0.25">
      <c r="A198" t="s">
        <v>715</v>
      </c>
      <c r="B198" t="s">
        <v>6</v>
      </c>
      <c r="C198" t="s">
        <v>408</v>
      </c>
      <c r="D198" t="s">
        <v>170</v>
      </c>
      <c r="E198">
        <v>324802.39520958083</v>
      </c>
      <c r="F198">
        <v>30</v>
      </c>
      <c r="G198" t="s">
        <v>130</v>
      </c>
      <c r="H198">
        <v>1</v>
      </c>
    </row>
    <row r="199" spans="1:8" x14ac:dyDescent="0.25">
      <c r="A199" t="s">
        <v>716</v>
      </c>
      <c r="B199" t="s">
        <v>6</v>
      </c>
      <c r="C199" t="s">
        <v>408</v>
      </c>
      <c r="D199" t="s">
        <v>170</v>
      </c>
      <c r="E199">
        <v>324802.39520958083</v>
      </c>
      <c r="F199">
        <v>30</v>
      </c>
      <c r="G199" t="s">
        <v>696</v>
      </c>
      <c r="H199">
        <v>1</v>
      </c>
    </row>
    <row r="200" spans="1:8" x14ac:dyDescent="0.25">
      <c r="A200" t="s">
        <v>717</v>
      </c>
      <c r="B200" t="s">
        <v>6</v>
      </c>
      <c r="C200" t="s">
        <v>408</v>
      </c>
      <c r="D200" t="s">
        <v>170</v>
      </c>
      <c r="E200">
        <v>324802.39520958083</v>
      </c>
      <c r="F200">
        <v>30</v>
      </c>
      <c r="G200" t="s">
        <v>696</v>
      </c>
      <c r="H200">
        <v>2</v>
      </c>
    </row>
    <row r="201" spans="1:8" x14ac:dyDescent="0.25">
      <c r="A201" t="s">
        <v>718</v>
      </c>
      <c r="B201" t="s">
        <v>6</v>
      </c>
      <c r="C201" t="s">
        <v>408</v>
      </c>
      <c r="D201" t="s">
        <v>170</v>
      </c>
      <c r="E201">
        <v>324802.39520958083</v>
      </c>
      <c r="F201">
        <v>30</v>
      </c>
      <c r="G201" t="s">
        <v>696</v>
      </c>
      <c r="H201">
        <v>1</v>
      </c>
    </row>
    <row r="202" spans="1:8" x14ac:dyDescent="0.25">
      <c r="A202" t="s">
        <v>719</v>
      </c>
      <c r="B202" t="s">
        <v>6</v>
      </c>
      <c r="C202" t="s">
        <v>408</v>
      </c>
      <c r="D202" t="s">
        <v>170</v>
      </c>
      <c r="E202">
        <v>324802.39520958083</v>
      </c>
      <c r="F202">
        <v>30</v>
      </c>
      <c r="G202" t="s">
        <v>697</v>
      </c>
      <c r="H202">
        <v>3</v>
      </c>
    </row>
    <row r="203" spans="1:8" x14ac:dyDescent="0.25">
      <c r="A203" t="s">
        <v>720</v>
      </c>
      <c r="B203" t="s">
        <v>6</v>
      </c>
      <c r="C203" t="s">
        <v>408</v>
      </c>
      <c r="D203" t="s">
        <v>170</v>
      </c>
      <c r="E203">
        <v>324802.39520958083</v>
      </c>
      <c r="F203">
        <v>30</v>
      </c>
      <c r="G203" t="s">
        <v>130</v>
      </c>
      <c r="H203">
        <v>1</v>
      </c>
    </row>
    <row r="204" spans="1:8" x14ac:dyDescent="0.25">
      <c r="A204" t="s">
        <v>721</v>
      </c>
      <c r="B204" t="s">
        <v>6</v>
      </c>
      <c r="C204" t="s">
        <v>408</v>
      </c>
      <c r="D204" t="s">
        <v>170</v>
      </c>
      <c r="E204">
        <v>324802.39520958083</v>
      </c>
      <c r="F204">
        <v>30</v>
      </c>
      <c r="G204" t="s">
        <v>130</v>
      </c>
      <c r="H204">
        <v>1</v>
      </c>
    </row>
    <row r="205" spans="1:8" x14ac:dyDescent="0.25">
      <c r="A205" t="s">
        <v>722</v>
      </c>
      <c r="B205" t="s">
        <v>6</v>
      </c>
      <c r="C205" t="s">
        <v>408</v>
      </c>
      <c r="D205" t="s">
        <v>170</v>
      </c>
      <c r="E205">
        <v>324802.39520958083</v>
      </c>
      <c r="F205">
        <v>30</v>
      </c>
      <c r="G205" t="s">
        <v>130</v>
      </c>
      <c r="H205">
        <v>1</v>
      </c>
    </row>
    <row r="206" spans="1:8" x14ac:dyDescent="0.25">
      <c r="A206" t="s">
        <v>723</v>
      </c>
      <c r="B206" t="s">
        <v>6</v>
      </c>
      <c r="C206" t="s">
        <v>408</v>
      </c>
      <c r="D206" t="s">
        <v>170</v>
      </c>
      <c r="E206">
        <v>324802.39520958083</v>
      </c>
      <c r="F206">
        <v>30</v>
      </c>
      <c r="G206" t="s">
        <v>696</v>
      </c>
      <c r="H206">
        <v>1</v>
      </c>
    </row>
    <row r="207" spans="1:8" x14ac:dyDescent="0.25">
      <c r="A207" t="s">
        <v>724</v>
      </c>
      <c r="B207" t="s">
        <v>6</v>
      </c>
      <c r="C207" t="s">
        <v>408</v>
      </c>
      <c r="D207" t="s">
        <v>170</v>
      </c>
      <c r="E207">
        <v>324802.39520958083</v>
      </c>
      <c r="F207">
        <v>30</v>
      </c>
      <c r="G207" t="s">
        <v>697</v>
      </c>
      <c r="H207">
        <v>1</v>
      </c>
    </row>
    <row r="208" spans="1:8" x14ac:dyDescent="0.25">
      <c r="A208" t="s">
        <v>725</v>
      </c>
      <c r="B208" t="s">
        <v>6</v>
      </c>
      <c r="C208" t="s">
        <v>408</v>
      </c>
      <c r="D208" t="s">
        <v>170</v>
      </c>
      <c r="E208">
        <v>324802.39520958083</v>
      </c>
      <c r="F208">
        <v>30</v>
      </c>
      <c r="G208" t="s">
        <v>697</v>
      </c>
      <c r="H208">
        <v>1</v>
      </c>
    </row>
    <row r="209" spans="1:8" x14ac:dyDescent="0.25">
      <c r="A209" t="s">
        <v>726</v>
      </c>
      <c r="B209" t="s">
        <v>6</v>
      </c>
      <c r="C209" t="s">
        <v>408</v>
      </c>
      <c r="D209" t="s">
        <v>170</v>
      </c>
      <c r="E209">
        <v>324802.39520958083</v>
      </c>
      <c r="F209">
        <v>30</v>
      </c>
      <c r="G209" t="s">
        <v>130</v>
      </c>
      <c r="H209">
        <v>1</v>
      </c>
    </row>
    <row r="210" spans="1:8" x14ac:dyDescent="0.25">
      <c r="A210" t="s">
        <v>727</v>
      </c>
      <c r="B210" t="s">
        <v>6</v>
      </c>
      <c r="C210" t="s">
        <v>408</v>
      </c>
      <c r="D210" t="s">
        <v>170</v>
      </c>
      <c r="E210">
        <v>324802.39520958083</v>
      </c>
      <c r="F210">
        <v>30</v>
      </c>
      <c r="G210" t="s">
        <v>697</v>
      </c>
      <c r="H210">
        <v>1</v>
      </c>
    </row>
    <row r="211" spans="1:8" x14ac:dyDescent="0.25">
      <c r="A211" t="s">
        <v>728</v>
      </c>
      <c r="B211" t="s">
        <v>6</v>
      </c>
      <c r="C211" t="s">
        <v>408</v>
      </c>
      <c r="D211" t="s">
        <v>170</v>
      </c>
      <c r="E211">
        <v>324802.39520958083</v>
      </c>
      <c r="F211">
        <v>30</v>
      </c>
      <c r="G211" t="s">
        <v>696</v>
      </c>
      <c r="H211">
        <v>1</v>
      </c>
    </row>
    <row r="212" spans="1:8" x14ac:dyDescent="0.25">
      <c r="A212" s="26" t="s">
        <v>729</v>
      </c>
      <c r="B212" t="s">
        <v>6</v>
      </c>
      <c r="C212" t="s">
        <v>408</v>
      </c>
      <c r="D212" t="s">
        <v>170</v>
      </c>
      <c r="E212">
        <v>323553.89221556886</v>
      </c>
      <c r="F212">
        <v>30</v>
      </c>
      <c r="G212" t="s">
        <v>696</v>
      </c>
      <c r="H212">
        <v>2</v>
      </c>
    </row>
    <row r="213" spans="1:8" x14ac:dyDescent="0.25">
      <c r="A213" s="26" t="s">
        <v>730</v>
      </c>
      <c r="B213" t="s">
        <v>6</v>
      </c>
      <c r="C213" t="s">
        <v>408</v>
      </c>
      <c r="D213" t="s">
        <v>170</v>
      </c>
      <c r="E213">
        <v>323553.89221556886</v>
      </c>
      <c r="F213">
        <v>30</v>
      </c>
      <c r="G213" t="s">
        <v>696</v>
      </c>
      <c r="H213">
        <v>1</v>
      </c>
    </row>
    <row r="214" spans="1:8" x14ac:dyDescent="0.25">
      <c r="A214" s="26" t="s">
        <v>731</v>
      </c>
      <c r="B214" t="s">
        <v>6</v>
      </c>
      <c r="C214" t="s">
        <v>408</v>
      </c>
      <c r="D214" t="s">
        <v>170</v>
      </c>
      <c r="E214">
        <v>323553.89221556886</v>
      </c>
      <c r="F214">
        <v>30</v>
      </c>
      <c r="G214" t="s">
        <v>697</v>
      </c>
      <c r="H214">
        <v>1</v>
      </c>
    </row>
    <row r="215" spans="1:8" x14ac:dyDescent="0.25">
      <c r="A215" s="26" t="s">
        <v>732</v>
      </c>
      <c r="B215" t="s">
        <v>6</v>
      </c>
      <c r="C215" t="s">
        <v>408</v>
      </c>
      <c r="D215" t="s">
        <v>170</v>
      </c>
      <c r="E215">
        <v>323553.89221556886</v>
      </c>
      <c r="F215">
        <v>30</v>
      </c>
      <c r="G215" t="s">
        <v>698</v>
      </c>
      <c r="H215">
        <v>1</v>
      </c>
    </row>
    <row r="216" spans="1:8" x14ac:dyDescent="0.25">
      <c r="A216" s="26" t="s">
        <v>733</v>
      </c>
      <c r="B216" t="s">
        <v>6</v>
      </c>
      <c r="C216" t="s">
        <v>408</v>
      </c>
      <c r="D216" t="s">
        <v>170</v>
      </c>
      <c r="E216">
        <v>323553.89221556886</v>
      </c>
      <c r="F216">
        <v>30</v>
      </c>
      <c r="G216" t="s">
        <v>696</v>
      </c>
      <c r="H216">
        <v>1</v>
      </c>
    </row>
    <row r="217" spans="1:8" x14ac:dyDescent="0.25">
      <c r="A217" s="26" t="s">
        <v>734</v>
      </c>
      <c r="B217" t="s">
        <v>6</v>
      </c>
      <c r="C217" t="s">
        <v>408</v>
      </c>
      <c r="D217" t="s">
        <v>170</v>
      </c>
      <c r="E217">
        <v>323553.89221556886</v>
      </c>
      <c r="F217">
        <v>30</v>
      </c>
      <c r="G217" t="s">
        <v>697</v>
      </c>
      <c r="H217">
        <v>1</v>
      </c>
    </row>
    <row r="218" spans="1:8" x14ac:dyDescent="0.25">
      <c r="A218" s="26" t="s">
        <v>735</v>
      </c>
      <c r="B218" t="s">
        <v>6</v>
      </c>
      <c r="C218" t="s">
        <v>408</v>
      </c>
      <c r="D218" t="s">
        <v>170</v>
      </c>
      <c r="E218">
        <v>323553.89221556886</v>
      </c>
      <c r="F218">
        <v>30</v>
      </c>
      <c r="G218" t="s">
        <v>697</v>
      </c>
      <c r="H218">
        <v>1</v>
      </c>
    </row>
    <row r="219" spans="1:8" x14ac:dyDescent="0.25">
      <c r="A219" s="26" t="s">
        <v>736</v>
      </c>
      <c r="B219" t="s">
        <v>6</v>
      </c>
      <c r="C219" t="s">
        <v>408</v>
      </c>
      <c r="D219" t="s">
        <v>170</v>
      </c>
      <c r="E219">
        <v>323553.89221556886</v>
      </c>
      <c r="F219">
        <v>30</v>
      </c>
      <c r="G219" t="s">
        <v>698</v>
      </c>
      <c r="H219">
        <v>1</v>
      </c>
    </row>
    <row r="220" spans="1:8" x14ac:dyDescent="0.25">
      <c r="A220" s="26" t="s">
        <v>737</v>
      </c>
      <c r="B220" t="s">
        <v>6</v>
      </c>
      <c r="C220" t="s">
        <v>408</v>
      </c>
      <c r="D220" t="s">
        <v>170</v>
      </c>
      <c r="E220">
        <v>323553.89221556886</v>
      </c>
      <c r="F220">
        <v>30</v>
      </c>
      <c r="G220" t="s">
        <v>696</v>
      </c>
      <c r="H220">
        <v>1</v>
      </c>
    </row>
    <row r="221" spans="1:8" x14ac:dyDescent="0.25">
      <c r="A221" s="26" t="s">
        <v>738</v>
      </c>
      <c r="B221" t="s">
        <v>6</v>
      </c>
      <c r="C221" t="s">
        <v>408</v>
      </c>
      <c r="D221" t="s">
        <v>170</v>
      </c>
      <c r="E221">
        <v>323553.89221556886</v>
      </c>
      <c r="F221">
        <v>30</v>
      </c>
      <c r="G221" t="s">
        <v>697</v>
      </c>
      <c r="H221">
        <v>2</v>
      </c>
    </row>
    <row r="222" spans="1:8" x14ac:dyDescent="0.25">
      <c r="A222" s="26" t="s">
        <v>739</v>
      </c>
      <c r="B222" t="s">
        <v>6</v>
      </c>
      <c r="C222" t="s">
        <v>408</v>
      </c>
      <c r="D222" t="s">
        <v>170</v>
      </c>
      <c r="E222">
        <v>323553.89221556886</v>
      </c>
      <c r="F222">
        <v>30</v>
      </c>
      <c r="G222" t="s">
        <v>697</v>
      </c>
      <c r="H222">
        <v>1</v>
      </c>
    </row>
    <row r="223" spans="1:8" x14ac:dyDescent="0.25">
      <c r="A223" s="26" t="s">
        <v>740</v>
      </c>
      <c r="B223" t="s">
        <v>6</v>
      </c>
      <c r="C223" t="s">
        <v>408</v>
      </c>
      <c r="D223" t="s">
        <v>170</v>
      </c>
      <c r="E223">
        <v>323553.89221556886</v>
      </c>
      <c r="F223">
        <v>30</v>
      </c>
      <c r="G223" t="s">
        <v>697</v>
      </c>
      <c r="H223">
        <v>1</v>
      </c>
    </row>
    <row r="224" spans="1:8" x14ac:dyDescent="0.25">
      <c r="A224" s="26" t="s">
        <v>741</v>
      </c>
      <c r="B224" t="s">
        <v>6</v>
      </c>
      <c r="C224" t="s">
        <v>408</v>
      </c>
      <c r="D224" t="s">
        <v>170</v>
      </c>
      <c r="E224">
        <v>323553.89221556886</v>
      </c>
      <c r="F224">
        <v>30</v>
      </c>
      <c r="G224" t="s">
        <v>697</v>
      </c>
      <c r="H224">
        <v>1</v>
      </c>
    </row>
    <row r="225" spans="1:8" x14ac:dyDescent="0.25">
      <c r="A225" s="26" t="s">
        <v>742</v>
      </c>
      <c r="B225" t="s">
        <v>6</v>
      </c>
      <c r="C225" t="s">
        <v>408</v>
      </c>
      <c r="D225" t="s">
        <v>170</v>
      </c>
      <c r="E225">
        <v>323553.89221556886</v>
      </c>
      <c r="F225">
        <v>30</v>
      </c>
      <c r="G225" t="s">
        <v>696</v>
      </c>
      <c r="H225">
        <v>2</v>
      </c>
    </row>
    <row r="226" spans="1:8" x14ac:dyDescent="0.25">
      <c r="A226" s="26" t="s">
        <v>743</v>
      </c>
      <c r="B226" t="s">
        <v>6</v>
      </c>
      <c r="C226" t="s">
        <v>408</v>
      </c>
      <c r="D226" t="s">
        <v>170</v>
      </c>
      <c r="E226">
        <v>323553.89221556886</v>
      </c>
      <c r="F226">
        <v>30</v>
      </c>
      <c r="G226" t="s">
        <v>697</v>
      </c>
      <c r="H226">
        <v>1</v>
      </c>
    </row>
    <row r="227" spans="1:8" x14ac:dyDescent="0.25">
      <c r="A227" s="26" t="s">
        <v>744</v>
      </c>
      <c r="B227" t="s">
        <v>6</v>
      </c>
      <c r="C227" t="s">
        <v>408</v>
      </c>
      <c r="D227" t="s">
        <v>170</v>
      </c>
      <c r="E227">
        <v>323553.89221556886</v>
      </c>
      <c r="F227">
        <v>30</v>
      </c>
      <c r="G227" t="s">
        <v>697</v>
      </c>
      <c r="H227">
        <v>1</v>
      </c>
    </row>
    <row r="228" spans="1:8" x14ac:dyDescent="0.25">
      <c r="A228" s="26" t="s">
        <v>745</v>
      </c>
      <c r="B228" t="s">
        <v>6</v>
      </c>
      <c r="C228" t="s">
        <v>408</v>
      </c>
      <c r="D228" t="s">
        <v>170</v>
      </c>
      <c r="E228">
        <v>323553.89221556886</v>
      </c>
      <c r="F228">
        <v>30</v>
      </c>
      <c r="G228" t="s">
        <v>697</v>
      </c>
      <c r="H228">
        <v>1</v>
      </c>
    </row>
    <row r="229" spans="1:8" x14ac:dyDescent="0.25">
      <c r="A229" s="26" t="s">
        <v>746</v>
      </c>
      <c r="B229" t="s">
        <v>6</v>
      </c>
      <c r="C229" t="s">
        <v>408</v>
      </c>
      <c r="D229" t="s">
        <v>170</v>
      </c>
      <c r="E229">
        <v>323553.89221556886</v>
      </c>
      <c r="F229">
        <v>30</v>
      </c>
      <c r="G229" t="s">
        <v>697</v>
      </c>
      <c r="H229">
        <v>1</v>
      </c>
    </row>
    <row r="230" spans="1:8" x14ac:dyDescent="0.25">
      <c r="A230" s="26" t="s">
        <v>747</v>
      </c>
      <c r="B230" t="s">
        <v>6</v>
      </c>
      <c r="C230" t="s">
        <v>408</v>
      </c>
      <c r="D230" t="s">
        <v>170</v>
      </c>
      <c r="E230">
        <v>323553.89221556886</v>
      </c>
      <c r="F230">
        <v>30</v>
      </c>
      <c r="G230" t="s">
        <v>130</v>
      </c>
      <c r="H230">
        <v>1</v>
      </c>
    </row>
    <row r="231" spans="1:8" x14ac:dyDescent="0.25">
      <c r="A231" s="26" t="s">
        <v>748</v>
      </c>
      <c r="B231" t="s">
        <v>6</v>
      </c>
      <c r="C231" t="s">
        <v>408</v>
      </c>
      <c r="D231" t="s">
        <v>170</v>
      </c>
      <c r="E231">
        <v>323553.89221556886</v>
      </c>
      <c r="F231">
        <v>30</v>
      </c>
      <c r="G231" t="s">
        <v>696</v>
      </c>
      <c r="H231">
        <v>1</v>
      </c>
    </row>
    <row r="232" spans="1:8" x14ac:dyDescent="0.25">
      <c r="A232" s="26" t="s">
        <v>749</v>
      </c>
      <c r="B232" t="s">
        <v>6</v>
      </c>
      <c r="C232" t="s">
        <v>408</v>
      </c>
      <c r="D232" t="s">
        <v>170</v>
      </c>
      <c r="E232">
        <v>323553.89221556886</v>
      </c>
      <c r="F232">
        <v>30</v>
      </c>
      <c r="G232" t="s">
        <v>696</v>
      </c>
      <c r="H232">
        <v>1</v>
      </c>
    </row>
    <row r="233" spans="1:8" x14ac:dyDescent="0.25">
      <c r="A233" s="26" t="s">
        <v>750</v>
      </c>
      <c r="B233" t="s">
        <v>6</v>
      </c>
      <c r="C233" t="s">
        <v>408</v>
      </c>
      <c r="D233" t="s">
        <v>170</v>
      </c>
      <c r="E233">
        <v>323553.89221556886</v>
      </c>
      <c r="F233">
        <v>30</v>
      </c>
      <c r="G233" t="s">
        <v>697</v>
      </c>
      <c r="H233">
        <v>1</v>
      </c>
    </row>
    <row r="234" spans="1:8" x14ac:dyDescent="0.25">
      <c r="A234" s="26" t="s">
        <v>751</v>
      </c>
      <c r="B234" t="s">
        <v>6</v>
      </c>
      <c r="C234" t="s">
        <v>408</v>
      </c>
      <c r="D234" t="s">
        <v>170</v>
      </c>
      <c r="E234">
        <v>323553.89221556886</v>
      </c>
      <c r="F234">
        <v>30</v>
      </c>
      <c r="G234" t="s">
        <v>697</v>
      </c>
      <c r="H234">
        <v>1</v>
      </c>
    </row>
    <row r="235" spans="1:8" x14ac:dyDescent="0.25">
      <c r="A235" s="26" t="s">
        <v>752</v>
      </c>
      <c r="B235" t="s">
        <v>6</v>
      </c>
      <c r="C235" t="s">
        <v>408</v>
      </c>
      <c r="D235" t="s">
        <v>170</v>
      </c>
      <c r="E235">
        <v>323553.89221556886</v>
      </c>
      <c r="F235">
        <v>30</v>
      </c>
      <c r="G235" t="s">
        <v>697</v>
      </c>
      <c r="H235">
        <v>2</v>
      </c>
    </row>
    <row r="236" spans="1:8" x14ac:dyDescent="0.25">
      <c r="A236" s="26" t="s">
        <v>753</v>
      </c>
      <c r="B236" t="s">
        <v>6</v>
      </c>
      <c r="C236" t="s">
        <v>408</v>
      </c>
      <c r="D236" t="s">
        <v>170</v>
      </c>
      <c r="E236">
        <v>323553.89221556886</v>
      </c>
      <c r="F236">
        <v>30</v>
      </c>
      <c r="G236" t="s">
        <v>697</v>
      </c>
      <c r="H236">
        <v>1</v>
      </c>
    </row>
    <row r="237" spans="1:8" x14ac:dyDescent="0.25">
      <c r="A237" s="26" t="s">
        <v>754</v>
      </c>
      <c r="B237" t="s">
        <v>6</v>
      </c>
      <c r="C237" t="s">
        <v>408</v>
      </c>
      <c r="D237" t="s">
        <v>170</v>
      </c>
      <c r="E237">
        <v>323553.89221556886</v>
      </c>
      <c r="F237">
        <v>30</v>
      </c>
      <c r="G237" t="s">
        <v>696</v>
      </c>
      <c r="H237">
        <v>1</v>
      </c>
    </row>
    <row r="238" spans="1:8" x14ac:dyDescent="0.25">
      <c r="A238" s="26" t="s">
        <v>755</v>
      </c>
      <c r="B238" t="s">
        <v>6</v>
      </c>
      <c r="C238" t="s">
        <v>408</v>
      </c>
      <c r="D238" t="s">
        <v>170</v>
      </c>
      <c r="E238">
        <v>323553.89221556886</v>
      </c>
      <c r="F238">
        <v>30</v>
      </c>
      <c r="G238" t="s">
        <v>697</v>
      </c>
      <c r="H238">
        <v>1</v>
      </c>
    </row>
    <row r="239" spans="1:8" x14ac:dyDescent="0.25">
      <c r="A239" s="26" t="s">
        <v>756</v>
      </c>
      <c r="B239" t="s">
        <v>6</v>
      </c>
      <c r="C239" t="s">
        <v>408</v>
      </c>
      <c r="D239" t="s">
        <v>170</v>
      </c>
      <c r="E239">
        <v>323553.89221556886</v>
      </c>
      <c r="F239">
        <v>30</v>
      </c>
      <c r="G239" t="s">
        <v>697</v>
      </c>
      <c r="H239">
        <v>1</v>
      </c>
    </row>
    <row r="240" spans="1:8" x14ac:dyDescent="0.25">
      <c r="A240" s="26" t="s">
        <v>757</v>
      </c>
      <c r="B240" t="s">
        <v>6</v>
      </c>
      <c r="C240" t="s">
        <v>408</v>
      </c>
      <c r="D240" t="s">
        <v>170</v>
      </c>
      <c r="E240">
        <v>323553.89221556886</v>
      </c>
      <c r="F240">
        <v>30</v>
      </c>
      <c r="G240" t="s">
        <v>696</v>
      </c>
      <c r="H240">
        <v>1</v>
      </c>
    </row>
    <row r="241" spans="1:8" x14ac:dyDescent="0.25">
      <c r="A241" s="26" t="s">
        <v>758</v>
      </c>
      <c r="B241" t="s">
        <v>6</v>
      </c>
      <c r="C241" t="s">
        <v>408</v>
      </c>
      <c r="D241" t="s">
        <v>170</v>
      </c>
      <c r="E241">
        <v>323553.89221556886</v>
      </c>
      <c r="F241">
        <v>30</v>
      </c>
      <c r="G241" t="s">
        <v>696</v>
      </c>
      <c r="H241">
        <v>1</v>
      </c>
    </row>
    <row r="242" spans="1:8" x14ac:dyDescent="0.25">
      <c r="A242" s="26" t="s">
        <v>759</v>
      </c>
      <c r="B242" t="s">
        <v>6</v>
      </c>
      <c r="C242" t="s">
        <v>408</v>
      </c>
      <c r="D242" t="s">
        <v>170</v>
      </c>
      <c r="E242">
        <v>286147.70459081838</v>
      </c>
      <c r="F242">
        <v>30</v>
      </c>
      <c r="G242" t="s">
        <v>696</v>
      </c>
      <c r="H242">
        <v>1</v>
      </c>
    </row>
    <row r="243" spans="1:8" x14ac:dyDescent="0.25">
      <c r="A243" s="26" t="s">
        <v>760</v>
      </c>
      <c r="B243" t="s">
        <v>6</v>
      </c>
      <c r="C243" t="s">
        <v>408</v>
      </c>
      <c r="D243" t="s">
        <v>170</v>
      </c>
      <c r="E243">
        <v>286147.70459081838</v>
      </c>
      <c r="F243">
        <v>30</v>
      </c>
      <c r="G243" t="s">
        <v>696</v>
      </c>
      <c r="H243">
        <v>2</v>
      </c>
    </row>
    <row r="244" spans="1:8" x14ac:dyDescent="0.25">
      <c r="A244" s="26" t="s">
        <v>761</v>
      </c>
      <c r="B244" t="s">
        <v>6</v>
      </c>
      <c r="C244" t="s">
        <v>408</v>
      </c>
      <c r="D244" t="s">
        <v>170</v>
      </c>
      <c r="E244">
        <v>286147.70459081838</v>
      </c>
      <c r="F244">
        <v>30</v>
      </c>
      <c r="G244" t="s">
        <v>130</v>
      </c>
      <c r="H244">
        <v>1</v>
      </c>
    </row>
    <row r="245" spans="1:8" x14ac:dyDescent="0.25">
      <c r="A245" s="26" t="s">
        <v>762</v>
      </c>
      <c r="B245" t="s">
        <v>6</v>
      </c>
      <c r="C245" t="s">
        <v>408</v>
      </c>
      <c r="D245" t="s">
        <v>170</v>
      </c>
      <c r="E245">
        <v>286147.70459081838</v>
      </c>
      <c r="F245">
        <v>30</v>
      </c>
      <c r="G245" t="s">
        <v>697</v>
      </c>
      <c r="H245">
        <v>1</v>
      </c>
    </row>
    <row r="246" spans="1:8" x14ac:dyDescent="0.25">
      <c r="A246" s="26" t="s">
        <v>763</v>
      </c>
      <c r="B246" t="s">
        <v>6</v>
      </c>
      <c r="C246" t="s">
        <v>408</v>
      </c>
      <c r="D246" t="s">
        <v>170</v>
      </c>
      <c r="E246">
        <v>286147.70459081838</v>
      </c>
      <c r="F246">
        <v>30</v>
      </c>
      <c r="G246" t="s">
        <v>130</v>
      </c>
      <c r="H246">
        <v>1</v>
      </c>
    </row>
    <row r="247" spans="1:8" x14ac:dyDescent="0.25">
      <c r="A247" s="26" t="s">
        <v>764</v>
      </c>
      <c r="B247" t="s">
        <v>6</v>
      </c>
      <c r="C247" t="s">
        <v>408</v>
      </c>
      <c r="D247" t="s">
        <v>170</v>
      </c>
      <c r="E247">
        <v>286147.70459081838</v>
      </c>
      <c r="F247">
        <v>30</v>
      </c>
      <c r="G247" t="s">
        <v>697</v>
      </c>
      <c r="H247">
        <v>1</v>
      </c>
    </row>
    <row r="248" spans="1:8" x14ac:dyDescent="0.25">
      <c r="A248" s="26" t="s">
        <v>765</v>
      </c>
      <c r="B248" t="s">
        <v>6</v>
      </c>
      <c r="C248" t="s">
        <v>408</v>
      </c>
      <c r="D248" t="s">
        <v>170</v>
      </c>
      <c r="E248">
        <v>286147.70459081838</v>
      </c>
      <c r="F248">
        <v>30</v>
      </c>
      <c r="G248" t="s">
        <v>697</v>
      </c>
      <c r="H248">
        <v>2</v>
      </c>
    </row>
    <row r="249" spans="1:8" x14ac:dyDescent="0.25">
      <c r="A249" s="26" t="s">
        <v>766</v>
      </c>
      <c r="B249" t="s">
        <v>6</v>
      </c>
      <c r="C249" t="s">
        <v>408</v>
      </c>
      <c r="D249" t="s">
        <v>170</v>
      </c>
      <c r="E249">
        <v>286147.70459081838</v>
      </c>
      <c r="F249">
        <v>30</v>
      </c>
      <c r="G249" t="s">
        <v>130</v>
      </c>
      <c r="H249">
        <v>1</v>
      </c>
    </row>
    <row r="250" spans="1:8" x14ac:dyDescent="0.25">
      <c r="A250" s="26" t="s">
        <v>767</v>
      </c>
      <c r="B250" t="s">
        <v>6</v>
      </c>
      <c r="C250" t="s">
        <v>408</v>
      </c>
      <c r="D250" t="s">
        <v>170</v>
      </c>
      <c r="E250">
        <v>286147.70459081838</v>
      </c>
      <c r="F250">
        <v>30</v>
      </c>
      <c r="G250" t="s">
        <v>697</v>
      </c>
      <c r="H250">
        <v>1</v>
      </c>
    </row>
    <row r="251" spans="1:8" x14ac:dyDescent="0.25">
      <c r="A251" s="26" t="s">
        <v>768</v>
      </c>
      <c r="B251" t="s">
        <v>6</v>
      </c>
      <c r="C251" t="s">
        <v>408</v>
      </c>
      <c r="D251" t="s">
        <v>170</v>
      </c>
      <c r="E251">
        <v>286147.70459081838</v>
      </c>
      <c r="F251">
        <v>30</v>
      </c>
      <c r="G251" t="s">
        <v>698</v>
      </c>
      <c r="H251">
        <v>2</v>
      </c>
    </row>
    <row r="252" spans="1:8" x14ac:dyDescent="0.25">
      <c r="A252" s="26" t="s">
        <v>769</v>
      </c>
      <c r="B252" t="s">
        <v>6</v>
      </c>
      <c r="C252" t="s">
        <v>408</v>
      </c>
      <c r="D252" t="s">
        <v>170</v>
      </c>
      <c r="E252">
        <v>286147.70459081838</v>
      </c>
      <c r="F252">
        <v>30</v>
      </c>
      <c r="G252" t="s">
        <v>698</v>
      </c>
      <c r="H252">
        <v>1</v>
      </c>
    </row>
    <row r="253" spans="1:8" x14ac:dyDescent="0.25">
      <c r="A253" s="26" t="s">
        <v>770</v>
      </c>
      <c r="B253" t="s">
        <v>6</v>
      </c>
      <c r="C253" t="s">
        <v>408</v>
      </c>
      <c r="D253" t="s">
        <v>170</v>
      </c>
      <c r="E253">
        <v>286147.70459081838</v>
      </c>
      <c r="F253">
        <v>30</v>
      </c>
      <c r="G253" t="s">
        <v>130</v>
      </c>
      <c r="H253">
        <v>1</v>
      </c>
    </row>
    <row r="254" spans="1:8" x14ac:dyDescent="0.25">
      <c r="A254" s="26" t="s">
        <v>771</v>
      </c>
      <c r="B254" t="s">
        <v>6</v>
      </c>
      <c r="C254" t="s">
        <v>408</v>
      </c>
      <c r="D254" t="s">
        <v>170</v>
      </c>
      <c r="E254">
        <v>286147.70459081838</v>
      </c>
      <c r="F254">
        <v>30</v>
      </c>
      <c r="G254" t="s">
        <v>697</v>
      </c>
      <c r="H254">
        <v>2</v>
      </c>
    </row>
    <row r="255" spans="1:8" x14ac:dyDescent="0.25">
      <c r="A255" s="26" t="s">
        <v>772</v>
      </c>
      <c r="B255" t="s">
        <v>6</v>
      </c>
      <c r="C255" t="s">
        <v>408</v>
      </c>
      <c r="D255" t="s">
        <v>170</v>
      </c>
      <c r="E255">
        <v>286147.70459081838</v>
      </c>
      <c r="F255">
        <v>30</v>
      </c>
      <c r="G255" t="s">
        <v>696</v>
      </c>
      <c r="H255">
        <v>2</v>
      </c>
    </row>
    <row r="256" spans="1:8" x14ac:dyDescent="0.25">
      <c r="A256" s="26" t="s">
        <v>773</v>
      </c>
      <c r="B256" t="s">
        <v>6</v>
      </c>
      <c r="C256" t="s">
        <v>408</v>
      </c>
      <c r="D256" t="s">
        <v>170</v>
      </c>
      <c r="E256">
        <v>286147.70459081838</v>
      </c>
      <c r="F256">
        <v>30</v>
      </c>
      <c r="G256" t="s">
        <v>697</v>
      </c>
      <c r="H256">
        <v>1</v>
      </c>
    </row>
    <row r="257" spans="1:8" x14ac:dyDescent="0.25">
      <c r="A257" s="26" t="s">
        <v>774</v>
      </c>
      <c r="B257" t="s">
        <v>6</v>
      </c>
      <c r="C257" t="s">
        <v>408</v>
      </c>
      <c r="D257" t="s">
        <v>170</v>
      </c>
      <c r="E257">
        <v>286147.70459081838</v>
      </c>
      <c r="F257">
        <v>30</v>
      </c>
      <c r="G257" t="s">
        <v>697</v>
      </c>
      <c r="H257">
        <v>1</v>
      </c>
    </row>
    <row r="258" spans="1:8" x14ac:dyDescent="0.25">
      <c r="A258" s="26" t="s">
        <v>775</v>
      </c>
      <c r="B258" t="s">
        <v>6</v>
      </c>
      <c r="C258" t="s">
        <v>408</v>
      </c>
      <c r="D258" t="s">
        <v>170</v>
      </c>
      <c r="E258">
        <v>286147.70459081838</v>
      </c>
      <c r="F258">
        <v>30</v>
      </c>
      <c r="G258" t="s">
        <v>698</v>
      </c>
      <c r="H258">
        <v>2</v>
      </c>
    </row>
    <row r="259" spans="1:8" x14ac:dyDescent="0.25">
      <c r="A259" s="26" t="s">
        <v>776</v>
      </c>
      <c r="B259" t="s">
        <v>6</v>
      </c>
      <c r="C259" t="s">
        <v>408</v>
      </c>
      <c r="D259" t="s">
        <v>170</v>
      </c>
      <c r="E259">
        <v>286147.70459081838</v>
      </c>
      <c r="F259">
        <v>30</v>
      </c>
      <c r="G259" t="s">
        <v>697</v>
      </c>
      <c r="H259">
        <v>1</v>
      </c>
    </row>
    <row r="260" spans="1:8" x14ac:dyDescent="0.25">
      <c r="A260" s="26" t="s">
        <v>777</v>
      </c>
      <c r="B260" t="s">
        <v>6</v>
      </c>
      <c r="C260" t="s">
        <v>408</v>
      </c>
      <c r="D260" t="s">
        <v>170</v>
      </c>
      <c r="E260">
        <v>286147.70459081838</v>
      </c>
      <c r="F260">
        <v>30</v>
      </c>
      <c r="G260" t="s">
        <v>696</v>
      </c>
      <c r="H260">
        <v>1</v>
      </c>
    </row>
    <row r="261" spans="1:8" x14ac:dyDescent="0.25">
      <c r="A261" s="26" t="s">
        <v>778</v>
      </c>
      <c r="B261" t="s">
        <v>6</v>
      </c>
      <c r="C261" t="s">
        <v>408</v>
      </c>
      <c r="D261" t="s">
        <v>170</v>
      </c>
      <c r="E261">
        <v>286147.70459081838</v>
      </c>
      <c r="F261">
        <v>30</v>
      </c>
      <c r="G261" t="s">
        <v>697</v>
      </c>
      <c r="H261">
        <v>1</v>
      </c>
    </row>
    <row r="262" spans="1:8" x14ac:dyDescent="0.25">
      <c r="A262" s="26" t="s">
        <v>779</v>
      </c>
      <c r="B262" t="s">
        <v>6</v>
      </c>
      <c r="C262" t="s">
        <v>408</v>
      </c>
      <c r="D262" t="s">
        <v>170</v>
      </c>
      <c r="E262">
        <v>286147.70459081838</v>
      </c>
      <c r="F262">
        <v>30</v>
      </c>
      <c r="G262" t="s">
        <v>696</v>
      </c>
      <c r="H262">
        <v>2</v>
      </c>
    </row>
    <row r="263" spans="1:8" x14ac:dyDescent="0.25">
      <c r="A263" s="26" t="s">
        <v>780</v>
      </c>
      <c r="B263" t="s">
        <v>6</v>
      </c>
      <c r="C263" t="s">
        <v>408</v>
      </c>
      <c r="D263" t="s">
        <v>170</v>
      </c>
      <c r="E263">
        <v>286147.70459081838</v>
      </c>
      <c r="F263">
        <v>30</v>
      </c>
      <c r="G263" t="s">
        <v>697</v>
      </c>
      <c r="H263">
        <v>1</v>
      </c>
    </row>
    <row r="264" spans="1:8" x14ac:dyDescent="0.25">
      <c r="A264" s="26" t="s">
        <v>781</v>
      </c>
      <c r="B264" t="s">
        <v>6</v>
      </c>
      <c r="C264" t="s">
        <v>408</v>
      </c>
      <c r="D264" t="s">
        <v>170</v>
      </c>
      <c r="E264">
        <v>286147.70459081838</v>
      </c>
      <c r="F264">
        <v>30</v>
      </c>
      <c r="G264" t="s">
        <v>696</v>
      </c>
      <c r="H264">
        <v>1</v>
      </c>
    </row>
    <row r="265" spans="1:8" x14ac:dyDescent="0.25">
      <c r="A265" s="26" t="s">
        <v>782</v>
      </c>
      <c r="B265" t="s">
        <v>6</v>
      </c>
      <c r="C265" t="s">
        <v>408</v>
      </c>
      <c r="D265" t="s">
        <v>170</v>
      </c>
      <c r="E265">
        <v>286147.70459081838</v>
      </c>
      <c r="F265">
        <v>30</v>
      </c>
      <c r="G265" t="s">
        <v>697</v>
      </c>
      <c r="H265">
        <v>1</v>
      </c>
    </row>
    <row r="266" spans="1:8" x14ac:dyDescent="0.25">
      <c r="A266" s="26" t="s">
        <v>783</v>
      </c>
      <c r="B266" t="s">
        <v>6</v>
      </c>
      <c r="C266" t="s">
        <v>408</v>
      </c>
      <c r="D266" t="s">
        <v>170</v>
      </c>
      <c r="E266">
        <v>286147.70459081838</v>
      </c>
      <c r="F266">
        <v>30</v>
      </c>
      <c r="G266" t="s">
        <v>697</v>
      </c>
      <c r="H266">
        <v>1</v>
      </c>
    </row>
    <row r="267" spans="1:8" x14ac:dyDescent="0.25">
      <c r="A267" s="26" t="s">
        <v>784</v>
      </c>
      <c r="B267" t="s">
        <v>6</v>
      </c>
      <c r="C267" t="s">
        <v>408</v>
      </c>
      <c r="D267" t="s">
        <v>170</v>
      </c>
      <c r="E267">
        <v>286147.70459081838</v>
      </c>
      <c r="F267">
        <v>30</v>
      </c>
      <c r="G267" t="s">
        <v>697</v>
      </c>
      <c r="H267">
        <v>2</v>
      </c>
    </row>
    <row r="268" spans="1:8" x14ac:dyDescent="0.25">
      <c r="A268" s="26" t="s">
        <v>785</v>
      </c>
      <c r="B268" t="s">
        <v>6</v>
      </c>
      <c r="C268" t="s">
        <v>408</v>
      </c>
      <c r="D268" t="s">
        <v>170</v>
      </c>
      <c r="E268">
        <v>286147.70459081838</v>
      </c>
      <c r="F268">
        <v>30</v>
      </c>
      <c r="G268" t="s">
        <v>697</v>
      </c>
      <c r="H268">
        <v>1</v>
      </c>
    </row>
    <row r="269" spans="1:8" x14ac:dyDescent="0.25">
      <c r="A269" s="26" t="s">
        <v>786</v>
      </c>
      <c r="B269" t="s">
        <v>6</v>
      </c>
      <c r="C269" t="s">
        <v>408</v>
      </c>
      <c r="D269" t="s">
        <v>170</v>
      </c>
      <c r="E269">
        <v>286147.70459081838</v>
      </c>
      <c r="F269">
        <v>30</v>
      </c>
      <c r="G269" t="s">
        <v>697</v>
      </c>
      <c r="H269">
        <v>1</v>
      </c>
    </row>
    <row r="270" spans="1:8" x14ac:dyDescent="0.25">
      <c r="A270" s="26" t="s">
        <v>787</v>
      </c>
      <c r="B270" t="s">
        <v>6</v>
      </c>
      <c r="C270" t="s">
        <v>408</v>
      </c>
      <c r="D270" t="s">
        <v>170</v>
      </c>
      <c r="E270">
        <v>286147.70459081838</v>
      </c>
      <c r="F270">
        <v>30</v>
      </c>
      <c r="G270" t="s">
        <v>696</v>
      </c>
      <c r="H270">
        <v>2</v>
      </c>
    </row>
    <row r="271" spans="1:8" x14ac:dyDescent="0.25">
      <c r="A271" s="26" t="s">
        <v>788</v>
      </c>
      <c r="B271" t="s">
        <v>6</v>
      </c>
      <c r="C271" t="s">
        <v>408</v>
      </c>
      <c r="D271" t="s">
        <v>170</v>
      </c>
      <c r="E271">
        <v>286147.70459081838</v>
      </c>
      <c r="F271">
        <v>30</v>
      </c>
      <c r="G271" t="s">
        <v>696</v>
      </c>
      <c r="H271">
        <v>1</v>
      </c>
    </row>
    <row r="272" spans="1:8" x14ac:dyDescent="0.25">
      <c r="A272" s="26" t="s">
        <v>789</v>
      </c>
      <c r="B272" t="s">
        <v>6</v>
      </c>
      <c r="C272" t="s">
        <v>408</v>
      </c>
      <c r="D272" t="s">
        <v>170</v>
      </c>
      <c r="E272">
        <v>298416.20508982032</v>
      </c>
      <c r="F272">
        <v>60</v>
      </c>
      <c r="G272" t="s">
        <v>698</v>
      </c>
      <c r="H272">
        <v>1</v>
      </c>
    </row>
    <row r="273" spans="1:8" x14ac:dyDescent="0.25">
      <c r="A273" s="26" t="s">
        <v>790</v>
      </c>
      <c r="B273" t="s">
        <v>6</v>
      </c>
      <c r="C273" t="s">
        <v>408</v>
      </c>
      <c r="D273" t="s">
        <v>170</v>
      </c>
      <c r="E273">
        <v>298416.20508982032</v>
      </c>
      <c r="F273">
        <v>60</v>
      </c>
      <c r="G273" t="s">
        <v>698</v>
      </c>
      <c r="H273">
        <v>2</v>
      </c>
    </row>
    <row r="274" spans="1:8" x14ac:dyDescent="0.25">
      <c r="A274" s="26" t="s">
        <v>791</v>
      </c>
      <c r="B274" t="s">
        <v>6</v>
      </c>
      <c r="C274" t="s">
        <v>408</v>
      </c>
      <c r="D274" t="s">
        <v>170</v>
      </c>
      <c r="E274">
        <v>298416.20508982032</v>
      </c>
      <c r="F274">
        <v>60</v>
      </c>
      <c r="G274" t="s">
        <v>697</v>
      </c>
      <c r="H274">
        <v>1</v>
      </c>
    </row>
    <row r="275" spans="1:8" x14ac:dyDescent="0.25">
      <c r="A275" s="26" t="s">
        <v>792</v>
      </c>
      <c r="B275" t="s">
        <v>6</v>
      </c>
      <c r="C275" t="s">
        <v>408</v>
      </c>
      <c r="D275" t="s">
        <v>170</v>
      </c>
      <c r="E275">
        <v>298416.20508982032</v>
      </c>
      <c r="F275">
        <v>60</v>
      </c>
      <c r="G275" t="s">
        <v>696</v>
      </c>
      <c r="H275">
        <v>1</v>
      </c>
    </row>
    <row r="276" spans="1:8" x14ac:dyDescent="0.25">
      <c r="A276" s="26" t="s">
        <v>793</v>
      </c>
      <c r="B276" t="s">
        <v>6</v>
      </c>
      <c r="C276" t="s">
        <v>408</v>
      </c>
      <c r="D276" t="s">
        <v>170</v>
      </c>
      <c r="E276">
        <v>298416.20508982032</v>
      </c>
      <c r="F276">
        <v>60</v>
      </c>
      <c r="G276" t="s">
        <v>698</v>
      </c>
      <c r="H276">
        <v>2</v>
      </c>
    </row>
    <row r="277" spans="1:8" x14ac:dyDescent="0.25">
      <c r="A277" s="26" t="s">
        <v>794</v>
      </c>
      <c r="B277" t="s">
        <v>6</v>
      </c>
      <c r="C277" t="s">
        <v>408</v>
      </c>
      <c r="D277" t="s">
        <v>170</v>
      </c>
      <c r="E277">
        <v>298416.20508982032</v>
      </c>
      <c r="F277">
        <v>60</v>
      </c>
      <c r="G277" t="s">
        <v>696</v>
      </c>
      <c r="H277">
        <v>1</v>
      </c>
    </row>
    <row r="278" spans="1:8" x14ac:dyDescent="0.25">
      <c r="A278" s="26" t="s">
        <v>795</v>
      </c>
      <c r="B278" t="s">
        <v>6</v>
      </c>
      <c r="C278" t="s">
        <v>408</v>
      </c>
      <c r="D278" t="s">
        <v>170</v>
      </c>
      <c r="E278">
        <v>298416.20508982032</v>
      </c>
      <c r="F278">
        <v>60</v>
      </c>
      <c r="G278" t="s">
        <v>697</v>
      </c>
      <c r="H278">
        <v>1</v>
      </c>
    </row>
    <row r="279" spans="1:8" x14ac:dyDescent="0.25">
      <c r="A279" s="26" t="s">
        <v>796</v>
      </c>
      <c r="B279" t="s">
        <v>6</v>
      </c>
      <c r="C279" t="s">
        <v>408</v>
      </c>
      <c r="D279" t="s">
        <v>170</v>
      </c>
      <c r="E279">
        <v>298416.20508982032</v>
      </c>
      <c r="F279">
        <v>60</v>
      </c>
      <c r="G279" t="s">
        <v>697</v>
      </c>
      <c r="H279">
        <v>1</v>
      </c>
    </row>
    <row r="280" spans="1:8" x14ac:dyDescent="0.25">
      <c r="A280" s="26" t="s">
        <v>797</v>
      </c>
      <c r="B280" t="s">
        <v>6</v>
      </c>
      <c r="C280" t="s">
        <v>408</v>
      </c>
      <c r="D280" t="s">
        <v>170</v>
      </c>
      <c r="E280">
        <v>298416.20508982032</v>
      </c>
      <c r="F280">
        <v>60</v>
      </c>
      <c r="G280" t="s">
        <v>697</v>
      </c>
      <c r="H280">
        <v>2</v>
      </c>
    </row>
    <row r="281" spans="1:8" x14ac:dyDescent="0.25">
      <c r="A281" s="26" t="s">
        <v>798</v>
      </c>
      <c r="B281" t="s">
        <v>6</v>
      </c>
      <c r="C281" t="s">
        <v>408</v>
      </c>
      <c r="D281" t="s">
        <v>170</v>
      </c>
      <c r="E281">
        <v>298416.20508982032</v>
      </c>
      <c r="F281">
        <v>60</v>
      </c>
      <c r="G281" t="s">
        <v>698</v>
      </c>
      <c r="H281">
        <v>1</v>
      </c>
    </row>
    <row r="282" spans="1:8" x14ac:dyDescent="0.25">
      <c r="A282" s="26" t="s">
        <v>799</v>
      </c>
      <c r="B282" t="s">
        <v>6</v>
      </c>
      <c r="C282" t="s">
        <v>408</v>
      </c>
      <c r="D282" t="s">
        <v>170</v>
      </c>
      <c r="E282">
        <v>298416.20508982032</v>
      </c>
      <c r="F282">
        <v>60</v>
      </c>
      <c r="G282" t="s">
        <v>696</v>
      </c>
      <c r="H282">
        <v>1</v>
      </c>
    </row>
    <row r="283" spans="1:8" x14ac:dyDescent="0.25">
      <c r="A283" s="26" t="s">
        <v>800</v>
      </c>
      <c r="B283" t="s">
        <v>6</v>
      </c>
      <c r="C283" t="s">
        <v>408</v>
      </c>
      <c r="D283" t="s">
        <v>170</v>
      </c>
      <c r="E283">
        <v>298416.20508982032</v>
      </c>
      <c r="F283">
        <v>60</v>
      </c>
      <c r="G283" t="s">
        <v>697</v>
      </c>
      <c r="H283">
        <v>1</v>
      </c>
    </row>
    <row r="284" spans="1:8" x14ac:dyDescent="0.25">
      <c r="A284" s="26" t="s">
        <v>801</v>
      </c>
      <c r="B284" t="s">
        <v>6</v>
      </c>
      <c r="C284" t="s">
        <v>408</v>
      </c>
      <c r="D284" t="s">
        <v>170</v>
      </c>
      <c r="E284">
        <v>298416.20508982032</v>
      </c>
      <c r="F284">
        <v>60</v>
      </c>
      <c r="G284" t="s">
        <v>697</v>
      </c>
      <c r="H284">
        <v>1</v>
      </c>
    </row>
    <row r="285" spans="1:8" x14ac:dyDescent="0.25">
      <c r="A285" s="26" t="s">
        <v>802</v>
      </c>
      <c r="B285" t="s">
        <v>6</v>
      </c>
      <c r="C285" t="s">
        <v>408</v>
      </c>
      <c r="D285" t="s">
        <v>170</v>
      </c>
      <c r="E285">
        <v>298416.20508982032</v>
      </c>
      <c r="F285">
        <v>60</v>
      </c>
      <c r="G285" t="s">
        <v>697</v>
      </c>
      <c r="H285">
        <v>1</v>
      </c>
    </row>
    <row r="286" spans="1:8" x14ac:dyDescent="0.25">
      <c r="A286" s="26" t="s">
        <v>803</v>
      </c>
      <c r="B286" t="s">
        <v>6</v>
      </c>
      <c r="C286" t="s">
        <v>408</v>
      </c>
      <c r="D286" t="s">
        <v>170</v>
      </c>
      <c r="E286">
        <v>298416.20508982032</v>
      </c>
      <c r="F286">
        <v>60</v>
      </c>
      <c r="G286" t="s">
        <v>698</v>
      </c>
      <c r="H286">
        <v>1</v>
      </c>
    </row>
    <row r="287" spans="1:8" x14ac:dyDescent="0.25">
      <c r="A287" s="26" t="s">
        <v>804</v>
      </c>
      <c r="B287" t="s">
        <v>6</v>
      </c>
      <c r="C287" t="s">
        <v>408</v>
      </c>
      <c r="D287" t="s">
        <v>170</v>
      </c>
      <c r="E287">
        <v>298416.20508982032</v>
      </c>
      <c r="F287">
        <v>60</v>
      </c>
      <c r="G287" t="s">
        <v>698</v>
      </c>
      <c r="H287">
        <v>1</v>
      </c>
    </row>
    <row r="288" spans="1:8" x14ac:dyDescent="0.25">
      <c r="A288" s="26" t="s">
        <v>805</v>
      </c>
      <c r="B288" t="s">
        <v>6</v>
      </c>
      <c r="C288" t="s">
        <v>408</v>
      </c>
      <c r="D288" t="s">
        <v>170</v>
      </c>
      <c r="E288">
        <v>298416.20508982032</v>
      </c>
      <c r="F288">
        <v>60</v>
      </c>
      <c r="G288" t="s">
        <v>697</v>
      </c>
      <c r="H288">
        <v>1</v>
      </c>
    </row>
    <row r="289" spans="1:8" x14ac:dyDescent="0.25">
      <c r="A289" s="26" t="s">
        <v>806</v>
      </c>
      <c r="B289" t="s">
        <v>6</v>
      </c>
      <c r="C289" t="s">
        <v>408</v>
      </c>
      <c r="D289" t="s">
        <v>170</v>
      </c>
      <c r="E289">
        <v>298416.20508982032</v>
      </c>
      <c r="F289">
        <v>60</v>
      </c>
      <c r="G289" t="s">
        <v>697</v>
      </c>
      <c r="H289">
        <v>1</v>
      </c>
    </row>
    <row r="290" spans="1:8" x14ac:dyDescent="0.25">
      <c r="A290" s="26" t="s">
        <v>807</v>
      </c>
      <c r="B290" t="s">
        <v>6</v>
      </c>
      <c r="C290" t="s">
        <v>408</v>
      </c>
      <c r="D290" t="s">
        <v>170</v>
      </c>
      <c r="E290">
        <v>298416.20508982032</v>
      </c>
      <c r="F290">
        <v>60</v>
      </c>
      <c r="G290" t="s">
        <v>697</v>
      </c>
      <c r="H290">
        <v>1</v>
      </c>
    </row>
    <row r="291" spans="1:8" x14ac:dyDescent="0.25">
      <c r="A291" s="26" t="s">
        <v>808</v>
      </c>
      <c r="B291" t="s">
        <v>6</v>
      </c>
      <c r="C291" t="s">
        <v>408</v>
      </c>
      <c r="D291" t="s">
        <v>170</v>
      </c>
      <c r="E291">
        <v>298416.20508982032</v>
      </c>
      <c r="F291">
        <v>60</v>
      </c>
      <c r="G291" t="s">
        <v>696</v>
      </c>
      <c r="H291">
        <v>1</v>
      </c>
    </row>
    <row r="292" spans="1:8" x14ac:dyDescent="0.25">
      <c r="A292" s="26" t="s">
        <v>809</v>
      </c>
      <c r="B292" t="s">
        <v>6</v>
      </c>
      <c r="C292" t="s">
        <v>408</v>
      </c>
      <c r="D292" t="s">
        <v>170</v>
      </c>
      <c r="E292">
        <v>298416.20508982032</v>
      </c>
      <c r="F292">
        <v>60</v>
      </c>
      <c r="G292" t="s">
        <v>696</v>
      </c>
      <c r="H292">
        <v>1</v>
      </c>
    </row>
    <row r="293" spans="1:8" x14ac:dyDescent="0.25">
      <c r="A293" s="26" t="s">
        <v>810</v>
      </c>
      <c r="B293" t="s">
        <v>6</v>
      </c>
      <c r="C293" t="s">
        <v>408</v>
      </c>
      <c r="D293" t="s">
        <v>170</v>
      </c>
      <c r="E293">
        <v>298416.20508982032</v>
      </c>
      <c r="F293">
        <v>60</v>
      </c>
      <c r="G293" t="s">
        <v>697</v>
      </c>
      <c r="H293">
        <v>1</v>
      </c>
    </row>
    <row r="294" spans="1:8" x14ac:dyDescent="0.25">
      <c r="A294" s="26" t="s">
        <v>811</v>
      </c>
      <c r="B294" t="s">
        <v>6</v>
      </c>
      <c r="C294" t="s">
        <v>408</v>
      </c>
      <c r="D294" t="s">
        <v>170</v>
      </c>
      <c r="E294">
        <v>298416.20508982032</v>
      </c>
      <c r="F294">
        <v>60</v>
      </c>
      <c r="G294" t="s">
        <v>697</v>
      </c>
      <c r="H294">
        <v>1</v>
      </c>
    </row>
    <row r="295" spans="1:8" x14ac:dyDescent="0.25">
      <c r="A295" s="26" t="s">
        <v>812</v>
      </c>
      <c r="B295" t="s">
        <v>6</v>
      </c>
      <c r="C295" t="s">
        <v>408</v>
      </c>
      <c r="D295" t="s">
        <v>170</v>
      </c>
      <c r="E295">
        <v>298416.20508982032</v>
      </c>
      <c r="F295">
        <v>60</v>
      </c>
      <c r="G295" t="s">
        <v>696</v>
      </c>
      <c r="H295">
        <v>1</v>
      </c>
    </row>
    <row r="296" spans="1:8" x14ac:dyDescent="0.25">
      <c r="A296" s="26" t="s">
        <v>813</v>
      </c>
      <c r="B296" t="s">
        <v>6</v>
      </c>
      <c r="C296" t="s">
        <v>408</v>
      </c>
      <c r="D296" t="s">
        <v>170</v>
      </c>
      <c r="E296">
        <v>298416.20508982032</v>
      </c>
      <c r="F296">
        <v>60</v>
      </c>
      <c r="G296" t="s">
        <v>697</v>
      </c>
      <c r="H296">
        <v>1</v>
      </c>
    </row>
    <row r="297" spans="1:8" x14ac:dyDescent="0.25">
      <c r="A297" s="26" t="s">
        <v>814</v>
      </c>
      <c r="B297" t="s">
        <v>6</v>
      </c>
      <c r="C297" t="s">
        <v>408</v>
      </c>
      <c r="D297" t="s">
        <v>170</v>
      </c>
      <c r="E297">
        <v>298416.20508982032</v>
      </c>
      <c r="F297">
        <v>60</v>
      </c>
      <c r="G297" t="s">
        <v>697</v>
      </c>
      <c r="H297">
        <v>2</v>
      </c>
    </row>
    <row r="298" spans="1:8" x14ac:dyDescent="0.25">
      <c r="A298" s="26" t="s">
        <v>815</v>
      </c>
      <c r="B298" t="s">
        <v>6</v>
      </c>
      <c r="C298" t="s">
        <v>408</v>
      </c>
      <c r="D298" t="s">
        <v>170</v>
      </c>
      <c r="E298">
        <v>298416.20508982032</v>
      </c>
      <c r="F298">
        <v>60</v>
      </c>
      <c r="G298" t="s">
        <v>697</v>
      </c>
      <c r="H298">
        <v>1</v>
      </c>
    </row>
    <row r="299" spans="1:8" x14ac:dyDescent="0.25">
      <c r="A299" s="26" t="s">
        <v>816</v>
      </c>
      <c r="B299" t="s">
        <v>6</v>
      </c>
      <c r="C299" t="s">
        <v>408</v>
      </c>
      <c r="D299" t="s">
        <v>170</v>
      </c>
      <c r="E299">
        <v>298416.20508982032</v>
      </c>
      <c r="F299">
        <v>60</v>
      </c>
      <c r="G299" t="s">
        <v>697</v>
      </c>
      <c r="H299">
        <v>1</v>
      </c>
    </row>
    <row r="300" spans="1:8" x14ac:dyDescent="0.25">
      <c r="A300" s="26" t="s">
        <v>817</v>
      </c>
      <c r="B300" t="s">
        <v>6</v>
      </c>
      <c r="C300" t="s">
        <v>408</v>
      </c>
      <c r="D300" t="s">
        <v>170</v>
      </c>
      <c r="E300">
        <v>298416.20508982032</v>
      </c>
      <c r="F300">
        <v>60</v>
      </c>
      <c r="G300" t="s">
        <v>696</v>
      </c>
      <c r="H300">
        <v>1</v>
      </c>
    </row>
    <row r="301" spans="1:8" x14ac:dyDescent="0.25">
      <c r="A301" s="26" t="s">
        <v>818</v>
      </c>
      <c r="B301" t="s">
        <v>6</v>
      </c>
      <c r="C301" t="s">
        <v>408</v>
      </c>
      <c r="D301" t="s">
        <v>170</v>
      </c>
      <c r="E301">
        <v>298416.20508982032</v>
      </c>
      <c r="F301">
        <v>60</v>
      </c>
      <c r="G301" t="s">
        <v>696</v>
      </c>
      <c r="H301">
        <v>1</v>
      </c>
    </row>
    <row r="302" spans="1:8" x14ac:dyDescent="0.25">
      <c r="A302" s="26" t="s">
        <v>819</v>
      </c>
      <c r="B302" t="s">
        <v>6</v>
      </c>
      <c r="C302" t="s">
        <v>408</v>
      </c>
      <c r="D302" t="s">
        <v>170</v>
      </c>
      <c r="E302">
        <v>265886.52844311378</v>
      </c>
      <c r="F302">
        <v>60</v>
      </c>
      <c r="G302" t="s">
        <v>697</v>
      </c>
      <c r="H302">
        <v>1</v>
      </c>
    </row>
    <row r="303" spans="1:8" x14ac:dyDescent="0.25">
      <c r="A303" s="26" t="s">
        <v>820</v>
      </c>
      <c r="B303" t="s">
        <v>6</v>
      </c>
      <c r="C303" t="s">
        <v>408</v>
      </c>
      <c r="D303" t="s">
        <v>170</v>
      </c>
      <c r="E303">
        <v>265886.52844311378</v>
      </c>
      <c r="F303">
        <v>60</v>
      </c>
      <c r="G303" t="s">
        <v>697</v>
      </c>
      <c r="H303">
        <v>1</v>
      </c>
    </row>
    <row r="304" spans="1:8" x14ac:dyDescent="0.25">
      <c r="A304" s="26" t="s">
        <v>821</v>
      </c>
      <c r="B304" t="s">
        <v>6</v>
      </c>
      <c r="C304" t="s">
        <v>408</v>
      </c>
      <c r="D304" t="s">
        <v>170</v>
      </c>
      <c r="E304">
        <v>265886.52844311378</v>
      </c>
      <c r="F304">
        <v>60</v>
      </c>
      <c r="G304" t="s">
        <v>697</v>
      </c>
      <c r="H304">
        <v>2</v>
      </c>
    </row>
    <row r="305" spans="1:8" x14ac:dyDescent="0.25">
      <c r="A305" s="26" t="s">
        <v>822</v>
      </c>
      <c r="B305" t="s">
        <v>6</v>
      </c>
      <c r="C305" t="s">
        <v>408</v>
      </c>
      <c r="D305" t="s">
        <v>170</v>
      </c>
      <c r="E305">
        <v>265886.52844311378</v>
      </c>
      <c r="F305">
        <v>60</v>
      </c>
      <c r="G305" t="s">
        <v>698</v>
      </c>
      <c r="H305">
        <v>1</v>
      </c>
    </row>
    <row r="306" spans="1:8" x14ac:dyDescent="0.25">
      <c r="A306" s="26" t="s">
        <v>823</v>
      </c>
      <c r="B306" t="s">
        <v>6</v>
      </c>
      <c r="C306" t="s">
        <v>408</v>
      </c>
      <c r="D306" t="s">
        <v>170</v>
      </c>
      <c r="E306">
        <v>265886.52844311378</v>
      </c>
      <c r="F306">
        <v>60</v>
      </c>
      <c r="G306" t="s">
        <v>697</v>
      </c>
      <c r="H306">
        <v>1</v>
      </c>
    </row>
    <row r="307" spans="1:8" x14ac:dyDescent="0.25">
      <c r="A307" s="26" t="s">
        <v>824</v>
      </c>
      <c r="B307" t="s">
        <v>6</v>
      </c>
      <c r="C307" t="s">
        <v>408</v>
      </c>
      <c r="D307" t="s">
        <v>170</v>
      </c>
      <c r="E307">
        <v>265886.52844311378</v>
      </c>
      <c r="F307">
        <v>60</v>
      </c>
      <c r="G307" t="s">
        <v>697</v>
      </c>
      <c r="H307">
        <v>1</v>
      </c>
    </row>
    <row r="308" spans="1:8" x14ac:dyDescent="0.25">
      <c r="A308" s="26" t="s">
        <v>825</v>
      </c>
      <c r="B308" t="s">
        <v>6</v>
      </c>
      <c r="C308" t="s">
        <v>408</v>
      </c>
      <c r="D308" t="s">
        <v>170</v>
      </c>
      <c r="E308">
        <v>265886.52844311378</v>
      </c>
      <c r="F308">
        <v>60</v>
      </c>
      <c r="G308" t="s">
        <v>697</v>
      </c>
      <c r="H308">
        <v>1</v>
      </c>
    </row>
    <row r="309" spans="1:8" x14ac:dyDescent="0.25">
      <c r="A309" s="26" t="s">
        <v>826</v>
      </c>
      <c r="B309" t="s">
        <v>6</v>
      </c>
      <c r="C309" t="s">
        <v>408</v>
      </c>
      <c r="D309" t="s">
        <v>170</v>
      </c>
      <c r="E309">
        <v>265886.52844311378</v>
      </c>
      <c r="F309">
        <v>60</v>
      </c>
      <c r="G309" t="s">
        <v>697</v>
      </c>
      <c r="H309">
        <v>1</v>
      </c>
    </row>
    <row r="310" spans="1:8" x14ac:dyDescent="0.25">
      <c r="A310" s="26" t="s">
        <v>827</v>
      </c>
      <c r="B310" t="s">
        <v>6</v>
      </c>
      <c r="C310" t="s">
        <v>408</v>
      </c>
      <c r="D310" t="s">
        <v>170</v>
      </c>
      <c r="E310">
        <v>265886.52844311378</v>
      </c>
      <c r="F310">
        <v>60</v>
      </c>
      <c r="G310" t="s">
        <v>697</v>
      </c>
      <c r="H310">
        <v>1</v>
      </c>
    </row>
    <row r="311" spans="1:8" x14ac:dyDescent="0.25">
      <c r="A311" s="26" t="s">
        <v>828</v>
      </c>
      <c r="B311" t="s">
        <v>6</v>
      </c>
      <c r="C311" t="s">
        <v>408</v>
      </c>
      <c r="D311" t="s">
        <v>170</v>
      </c>
      <c r="E311">
        <v>265886.52844311378</v>
      </c>
      <c r="F311">
        <v>60</v>
      </c>
      <c r="G311" t="s">
        <v>130</v>
      </c>
      <c r="H311">
        <v>1</v>
      </c>
    </row>
    <row r="312" spans="1:8" x14ac:dyDescent="0.25">
      <c r="A312" s="26" t="s">
        <v>829</v>
      </c>
      <c r="B312" t="s">
        <v>6</v>
      </c>
      <c r="C312" t="s">
        <v>408</v>
      </c>
      <c r="D312" t="s">
        <v>170</v>
      </c>
      <c r="E312">
        <v>265886.52844311378</v>
      </c>
      <c r="F312">
        <v>60</v>
      </c>
      <c r="G312" t="s">
        <v>697</v>
      </c>
      <c r="H312">
        <v>2</v>
      </c>
    </row>
    <row r="313" spans="1:8" x14ac:dyDescent="0.25">
      <c r="A313" s="26" t="s">
        <v>830</v>
      </c>
      <c r="B313" t="s">
        <v>6</v>
      </c>
      <c r="C313" t="s">
        <v>408</v>
      </c>
      <c r="D313" t="s">
        <v>170</v>
      </c>
      <c r="E313">
        <v>265886.52844311378</v>
      </c>
      <c r="F313">
        <v>60</v>
      </c>
      <c r="G313" t="s">
        <v>697</v>
      </c>
      <c r="H313">
        <v>2</v>
      </c>
    </row>
    <row r="314" spans="1:8" x14ac:dyDescent="0.25">
      <c r="A314" s="26" t="s">
        <v>831</v>
      </c>
      <c r="B314" t="s">
        <v>6</v>
      </c>
      <c r="C314" t="s">
        <v>408</v>
      </c>
      <c r="D314" t="s">
        <v>170</v>
      </c>
      <c r="E314">
        <v>265886.52844311378</v>
      </c>
      <c r="F314">
        <v>60</v>
      </c>
      <c r="G314" t="s">
        <v>697</v>
      </c>
      <c r="H314">
        <v>1</v>
      </c>
    </row>
    <row r="315" spans="1:8" x14ac:dyDescent="0.25">
      <c r="A315" s="26" t="s">
        <v>832</v>
      </c>
      <c r="B315" t="s">
        <v>6</v>
      </c>
      <c r="C315" t="s">
        <v>408</v>
      </c>
      <c r="D315" t="s">
        <v>170</v>
      </c>
      <c r="E315">
        <v>265886.52844311378</v>
      </c>
      <c r="F315">
        <v>60</v>
      </c>
      <c r="G315" t="s">
        <v>696</v>
      </c>
      <c r="H315">
        <v>2</v>
      </c>
    </row>
    <row r="316" spans="1:8" x14ac:dyDescent="0.25">
      <c r="A316" s="26" t="s">
        <v>833</v>
      </c>
      <c r="B316" t="s">
        <v>6</v>
      </c>
      <c r="C316" t="s">
        <v>408</v>
      </c>
      <c r="D316" t="s">
        <v>170</v>
      </c>
      <c r="E316">
        <v>265886.52844311378</v>
      </c>
      <c r="F316">
        <v>60</v>
      </c>
      <c r="G316" t="s">
        <v>696</v>
      </c>
      <c r="H316">
        <v>1</v>
      </c>
    </row>
    <row r="317" spans="1:8" x14ac:dyDescent="0.25">
      <c r="A317" s="26" t="s">
        <v>834</v>
      </c>
      <c r="B317" t="s">
        <v>6</v>
      </c>
      <c r="C317" t="s">
        <v>408</v>
      </c>
      <c r="D317" t="s">
        <v>170</v>
      </c>
      <c r="E317">
        <v>265886.52844311378</v>
      </c>
      <c r="F317">
        <v>60</v>
      </c>
      <c r="G317" t="s">
        <v>698</v>
      </c>
      <c r="H317">
        <v>1</v>
      </c>
    </row>
    <row r="318" spans="1:8" x14ac:dyDescent="0.25">
      <c r="A318" s="26" t="s">
        <v>835</v>
      </c>
      <c r="B318" t="s">
        <v>6</v>
      </c>
      <c r="C318" t="s">
        <v>408</v>
      </c>
      <c r="D318" t="s">
        <v>170</v>
      </c>
      <c r="E318">
        <v>265886.52844311378</v>
      </c>
      <c r="F318">
        <v>60</v>
      </c>
      <c r="G318" t="s">
        <v>698</v>
      </c>
      <c r="H318">
        <v>1</v>
      </c>
    </row>
    <row r="319" spans="1:8" x14ac:dyDescent="0.25">
      <c r="A319" s="26" t="s">
        <v>836</v>
      </c>
      <c r="B319" t="s">
        <v>6</v>
      </c>
      <c r="C319" t="s">
        <v>408</v>
      </c>
      <c r="D319" t="s">
        <v>170</v>
      </c>
      <c r="E319">
        <v>265886.52844311378</v>
      </c>
      <c r="F319">
        <v>60</v>
      </c>
      <c r="G319" t="s">
        <v>698</v>
      </c>
      <c r="H319">
        <v>1</v>
      </c>
    </row>
    <row r="320" spans="1:8" x14ac:dyDescent="0.25">
      <c r="A320" s="26" t="s">
        <v>837</v>
      </c>
      <c r="B320" t="s">
        <v>6</v>
      </c>
      <c r="C320" t="s">
        <v>408</v>
      </c>
      <c r="D320" t="s">
        <v>170</v>
      </c>
      <c r="E320">
        <v>265886.52844311378</v>
      </c>
      <c r="F320">
        <v>60</v>
      </c>
      <c r="G320" t="s">
        <v>697</v>
      </c>
      <c r="H320">
        <v>1</v>
      </c>
    </row>
    <row r="321" spans="1:8" x14ac:dyDescent="0.25">
      <c r="A321" s="26" t="s">
        <v>838</v>
      </c>
      <c r="B321" t="s">
        <v>6</v>
      </c>
      <c r="C321" t="s">
        <v>408</v>
      </c>
      <c r="D321" t="s">
        <v>170</v>
      </c>
      <c r="E321">
        <v>265886.52844311378</v>
      </c>
      <c r="F321">
        <v>60</v>
      </c>
      <c r="G321" t="s">
        <v>697</v>
      </c>
      <c r="H321">
        <v>1</v>
      </c>
    </row>
    <row r="322" spans="1:8" x14ac:dyDescent="0.25">
      <c r="A322" s="26" t="s">
        <v>839</v>
      </c>
      <c r="B322" t="s">
        <v>6</v>
      </c>
      <c r="C322" t="s">
        <v>408</v>
      </c>
      <c r="D322" t="s">
        <v>170</v>
      </c>
      <c r="E322">
        <v>265886.52844311378</v>
      </c>
      <c r="F322">
        <v>60</v>
      </c>
      <c r="G322" t="s">
        <v>698</v>
      </c>
      <c r="H322">
        <v>2</v>
      </c>
    </row>
    <row r="323" spans="1:8" x14ac:dyDescent="0.25">
      <c r="A323" s="26" t="s">
        <v>840</v>
      </c>
      <c r="B323" t="s">
        <v>6</v>
      </c>
      <c r="C323" t="s">
        <v>408</v>
      </c>
      <c r="D323" t="s">
        <v>170</v>
      </c>
      <c r="E323">
        <v>265886.52844311378</v>
      </c>
      <c r="F323">
        <v>60</v>
      </c>
      <c r="G323" t="s">
        <v>698</v>
      </c>
      <c r="H323">
        <v>1</v>
      </c>
    </row>
    <row r="324" spans="1:8" x14ac:dyDescent="0.25">
      <c r="A324" s="26" t="s">
        <v>841</v>
      </c>
      <c r="B324" t="s">
        <v>6</v>
      </c>
      <c r="C324" t="s">
        <v>408</v>
      </c>
      <c r="D324" t="s">
        <v>170</v>
      </c>
      <c r="E324">
        <v>265886.52844311378</v>
      </c>
      <c r="F324">
        <v>60</v>
      </c>
      <c r="G324" t="s">
        <v>697</v>
      </c>
      <c r="H324">
        <v>1</v>
      </c>
    </row>
    <row r="325" spans="1:8" x14ac:dyDescent="0.25">
      <c r="A325" s="26" t="s">
        <v>842</v>
      </c>
      <c r="B325" t="s">
        <v>6</v>
      </c>
      <c r="C325" t="s">
        <v>408</v>
      </c>
      <c r="D325" t="s">
        <v>170</v>
      </c>
      <c r="E325">
        <v>265886.52844311378</v>
      </c>
      <c r="F325">
        <v>60</v>
      </c>
      <c r="G325" t="s">
        <v>698</v>
      </c>
      <c r="H325">
        <v>1</v>
      </c>
    </row>
    <row r="326" spans="1:8" x14ac:dyDescent="0.25">
      <c r="A326" s="26" t="s">
        <v>843</v>
      </c>
      <c r="B326" t="s">
        <v>6</v>
      </c>
      <c r="C326" t="s">
        <v>408</v>
      </c>
      <c r="D326" t="s">
        <v>170</v>
      </c>
      <c r="E326">
        <v>265886.52844311378</v>
      </c>
      <c r="F326">
        <v>60</v>
      </c>
      <c r="G326" t="s">
        <v>697</v>
      </c>
      <c r="H326">
        <v>1</v>
      </c>
    </row>
    <row r="327" spans="1:8" x14ac:dyDescent="0.25">
      <c r="A327" s="26" t="s">
        <v>844</v>
      </c>
      <c r="B327" t="s">
        <v>6</v>
      </c>
      <c r="C327" t="s">
        <v>408</v>
      </c>
      <c r="D327" t="s">
        <v>170</v>
      </c>
      <c r="E327">
        <v>265886.52844311378</v>
      </c>
      <c r="F327">
        <v>60</v>
      </c>
      <c r="G327" t="s">
        <v>698</v>
      </c>
      <c r="H327">
        <v>1</v>
      </c>
    </row>
    <row r="328" spans="1:8" x14ac:dyDescent="0.25">
      <c r="A328" s="26" t="s">
        <v>845</v>
      </c>
      <c r="B328" t="s">
        <v>6</v>
      </c>
      <c r="C328" t="s">
        <v>408</v>
      </c>
      <c r="D328" t="s">
        <v>170</v>
      </c>
      <c r="E328">
        <v>265886.52844311378</v>
      </c>
      <c r="F328">
        <v>60</v>
      </c>
      <c r="G328" t="s">
        <v>697</v>
      </c>
      <c r="H328">
        <v>1</v>
      </c>
    </row>
    <row r="329" spans="1:8" x14ac:dyDescent="0.25">
      <c r="A329" s="26" t="s">
        <v>846</v>
      </c>
      <c r="B329" t="s">
        <v>6</v>
      </c>
      <c r="C329" t="s">
        <v>408</v>
      </c>
      <c r="D329" t="s">
        <v>170</v>
      </c>
      <c r="E329">
        <v>265886.52844311378</v>
      </c>
      <c r="F329">
        <v>60</v>
      </c>
      <c r="G329" t="s">
        <v>697</v>
      </c>
      <c r="H329">
        <v>1</v>
      </c>
    </row>
    <row r="330" spans="1:8" x14ac:dyDescent="0.25">
      <c r="A330" s="26" t="s">
        <v>847</v>
      </c>
      <c r="B330" t="s">
        <v>6</v>
      </c>
      <c r="C330" t="s">
        <v>408</v>
      </c>
      <c r="D330" t="s">
        <v>170</v>
      </c>
      <c r="E330">
        <v>265886.52844311378</v>
      </c>
      <c r="F330">
        <v>60</v>
      </c>
      <c r="G330" t="s">
        <v>698</v>
      </c>
      <c r="H330">
        <v>1</v>
      </c>
    </row>
    <row r="331" spans="1:8" x14ac:dyDescent="0.25">
      <c r="A331" s="26" t="s">
        <v>848</v>
      </c>
      <c r="B331" t="s">
        <v>6</v>
      </c>
      <c r="C331" t="s">
        <v>408</v>
      </c>
      <c r="D331" t="s">
        <v>170</v>
      </c>
      <c r="E331">
        <v>265886.52844311378</v>
      </c>
      <c r="F331">
        <v>60</v>
      </c>
      <c r="G331" t="s">
        <v>698</v>
      </c>
      <c r="H331">
        <v>1</v>
      </c>
    </row>
    <row r="332" spans="1:8" x14ac:dyDescent="0.25">
      <c r="A332" s="26" t="s">
        <v>849</v>
      </c>
      <c r="B332" t="s">
        <v>6</v>
      </c>
      <c r="C332" t="s">
        <v>408</v>
      </c>
      <c r="D332" t="s">
        <v>170</v>
      </c>
      <c r="E332">
        <v>263654.78443113773</v>
      </c>
      <c r="F332">
        <v>60</v>
      </c>
      <c r="G332" t="s">
        <v>697</v>
      </c>
      <c r="H332">
        <v>2</v>
      </c>
    </row>
    <row r="333" spans="1:8" x14ac:dyDescent="0.25">
      <c r="A333" s="26" t="s">
        <v>850</v>
      </c>
      <c r="B333" t="s">
        <v>6</v>
      </c>
      <c r="C333" t="s">
        <v>408</v>
      </c>
      <c r="D333" t="s">
        <v>170</v>
      </c>
      <c r="E333">
        <v>263654.78443113773</v>
      </c>
      <c r="F333">
        <v>60</v>
      </c>
      <c r="G333" t="s">
        <v>697</v>
      </c>
      <c r="H333">
        <v>1</v>
      </c>
    </row>
    <row r="334" spans="1:8" x14ac:dyDescent="0.25">
      <c r="A334" s="26" t="s">
        <v>851</v>
      </c>
      <c r="B334" t="s">
        <v>6</v>
      </c>
      <c r="C334" t="s">
        <v>408</v>
      </c>
      <c r="D334" t="s">
        <v>170</v>
      </c>
      <c r="E334">
        <v>263654.78443113773</v>
      </c>
      <c r="F334">
        <v>60</v>
      </c>
      <c r="G334" t="s">
        <v>696</v>
      </c>
      <c r="H334">
        <v>1</v>
      </c>
    </row>
    <row r="335" spans="1:8" x14ac:dyDescent="0.25">
      <c r="A335" s="26" t="s">
        <v>852</v>
      </c>
      <c r="B335" t="s">
        <v>6</v>
      </c>
      <c r="C335" t="s">
        <v>408</v>
      </c>
      <c r="D335" t="s">
        <v>170</v>
      </c>
      <c r="E335">
        <v>263654.78443113773</v>
      </c>
      <c r="F335">
        <v>60</v>
      </c>
      <c r="G335" t="s">
        <v>697</v>
      </c>
      <c r="H335">
        <v>1</v>
      </c>
    </row>
    <row r="336" spans="1:8" x14ac:dyDescent="0.25">
      <c r="A336" s="26" t="s">
        <v>853</v>
      </c>
      <c r="B336" t="s">
        <v>6</v>
      </c>
      <c r="C336" t="s">
        <v>408</v>
      </c>
      <c r="D336" t="s">
        <v>170</v>
      </c>
      <c r="E336">
        <v>263654.78443113773</v>
      </c>
      <c r="F336">
        <v>60</v>
      </c>
      <c r="G336" t="s">
        <v>697</v>
      </c>
      <c r="H336">
        <v>1</v>
      </c>
    </row>
    <row r="337" spans="1:8" x14ac:dyDescent="0.25">
      <c r="A337" s="26" t="s">
        <v>854</v>
      </c>
      <c r="B337" t="s">
        <v>6</v>
      </c>
      <c r="C337" t="s">
        <v>408</v>
      </c>
      <c r="D337" t="s">
        <v>170</v>
      </c>
      <c r="E337">
        <v>263654.78443113773</v>
      </c>
      <c r="F337">
        <v>60</v>
      </c>
      <c r="G337" t="s">
        <v>697</v>
      </c>
      <c r="H337">
        <v>2</v>
      </c>
    </row>
    <row r="338" spans="1:8" x14ac:dyDescent="0.25">
      <c r="A338" s="26" t="s">
        <v>855</v>
      </c>
      <c r="B338" t="s">
        <v>6</v>
      </c>
      <c r="C338" t="s">
        <v>408</v>
      </c>
      <c r="D338" t="s">
        <v>170</v>
      </c>
      <c r="E338">
        <v>263654.78443113773</v>
      </c>
      <c r="F338">
        <v>60</v>
      </c>
      <c r="G338" t="s">
        <v>697</v>
      </c>
      <c r="H338">
        <v>1</v>
      </c>
    </row>
    <row r="339" spans="1:8" x14ac:dyDescent="0.25">
      <c r="A339" s="26" t="s">
        <v>856</v>
      </c>
      <c r="B339" t="s">
        <v>6</v>
      </c>
      <c r="C339" t="s">
        <v>408</v>
      </c>
      <c r="D339" t="s">
        <v>170</v>
      </c>
      <c r="E339">
        <v>263654.78443113773</v>
      </c>
      <c r="F339">
        <v>60</v>
      </c>
      <c r="G339" t="s">
        <v>697</v>
      </c>
      <c r="H339">
        <v>2</v>
      </c>
    </row>
    <row r="340" spans="1:8" x14ac:dyDescent="0.25">
      <c r="A340" s="26" t="s">
        <v>857</v>
      </c>
      <c r="B340" t="s">
        <v>6</v>
      </c>
      <c r="C340" t="s">
        <v>408</v>
      </c>
      <c r="D340" t="s">
        <v>170</v>
      </c>
      <c r="E340">
        <v>263654.78443113773</v>
      </c>
      <c r="F340">
        <v>60</v>
      </c>
      <c r="G340" t="s">
        <v>697</v>
      </c>
      <c r="H340">
        <v>1</v>
      </c>
    </row>
    <row r="341" spans="1:8" x14ac:dyDescent="0.25">
      <c r="A341" s="26" t="s">
        <v>858</v>
      </c>
      <c r="B341" t="s">
        <v>6</v>
      </c>
      <c r="C341" t="s">
        <v>408</v>
      </c>
      <c r="D341" t="s">
        <v>170</v>
      </c>
      <c r="E341">
        <v>263654.78443113773</v>
      </c>
      <c r="F341">
        <v>60</v>
      </c>
      <c r="G341" t="s">
        <v>697</v>
      </c>
      <c r="H341">
        <v>2</v>
      </c>
    </row>
    <row r="342" spans="1:8" x14ac:dyDescent="0.25">
      <c r="A342" s="26" t="s">
        <v>859</v>
      </c>
      <c r="B342" t="s">
        <v>6</v>
      </c>
      <c r="C342" t="s">
        <v>408</v>
      </c>
      <c r="D342" t="s">
        <v>170</v>
      </c>
      <c r="E342">
        <v>263654.78443113773</v>
      </c>
      <c r="F342">
        <v>60</v>
      </c>
      <c r="G342" t="s">
        <v>697</v>
      </c>
      <c r="H342">
        <v>2</v>
      </c>
    </row>
    <row r="343" spans="1:8" x14ac:dyDescent="0.25">
      <c r="A343" s="26" t="s">
        <v>860</v>
      </c>
      <c r="B343" t="s">
        <v>6</v>
      </c>
      <c r="C343" t="s">
        <v>408</v>
      </c>
      <c r="D343" t="s">
        <v>170</v>
      </c>
      <c r="E343">
        <v>263654.78443113773</v>
      </c>
      <c r="F343">
        <v>60</v>
      </c>
      <c r="G343" t="s">
        <v>697</v>
      </c>
      <c r="H343">
        <v>1</v>
      </c>
    </row>
    <row r="344" spans="1:8" x14ac:dyDescent="0.25">
      <c r="A344" s="26" t="s">
        <v>861</v>
      </c>
      <c r="B344" t="s">
        <v>6</v>
      </c>
      <c r="C344" t="s">
        <v>408</v>
      </c>
      <c r="D344" t="s">
        <v>170</v>
      </c>
      <c r="E344">
        <v>263654.78443113773</v>
      </c>
      <c r="F344">
        <v>60</v>
      </c>
      <c r="G344" t="s">
        <v>697</v>
      </c>
      <c r="H344">
        <v>1</v>
      </c>
    </row>
    <row r="345" spans="1:8" x14ac:dyDescent="0.25">
      <c r="A345" s="26" t="s">
        <v>862</v>
      </c>
      <c r="B345" t="s">
        <v>6</v>
      </c>
      <c r="C345" t="s">
        <v>408</v>
      </c>
      <c r="D345" t="s">
        <v>170</v>
      </c>
      <c r="E345">
        <v>263654.78443113773</v>
      </c>
      <c r="F345">
        <v>60</v>
      </c>
      <c r="G345" t="s">
        <v>697</v>
      </c>
      <c r="H345">
        <v>1</v>
      </c>
    </row>
    <row r="346" spans="1:8" x14ac:dyDescent="0.25">
      <c r="A346" s="26" t="s">
        <v>863</v>
      </c>
      <c r="B346" t="s">
        <v>6</v>
      </c>
      <c r="C346" t="s">
        <v>408</v>
      </c>
      <c r="D346" t="s">
        <v>170</v>
      </c>
      <c r="E346">
        <v>263654.78443113773</v>
      </c>
      <c r="F346">
        <v>60</v>
      </c>
      <c r="G346" t="s">
        <v>696</v>
      </c>
      <c r="H346">
        <v>1</v>
      </c>
    </row>
    <row r="347" spans="1:8" x14ac:dyDescent="0.25">
      <c r="A347" s="26" t="s">
        <v>864</v>
      </c>
      <c r="B347" t="s">
        <v>6</v>
      </c>
      <c r="C347" t="s">
        <v>408</v>
      </c>
      <c r="D347" t="s">
        <v>170</v>
      </c>
      <c r="E347">
        <v>263654.78443113773</v>
      </c>
      <c r="F347">
        <v>60</v>
      </c>
      <c r="G347" t="s">
        <v>130</v>
      </c>
      <c r="H347">
        <v>2</v>
      </c>
    </row>
    <row r="348" spans="1:8" x14ac:dyDescent="0.25">
      <c r="A348" s="26" t="s">
        <v>865</v>
      </c>
      <c r="B348" t="s">
        <v>6</v>
      </c>
      <c r="C348" t="s">
        <v>408</v>
      </c>
      <c r="D348" t="s">
        <v>170</v>
      </c>
      <c r="E348">
        <v>263654.78443113773</v>
      </c>
      <c r="F348">
        <v>60</v>
      </c>
      <c r="G348" t="s">
        <v>130</v>
      </c>
      <c r="H348">
        <v>3</v>
      </c>
    </row>
    <row r="349" spans="1:8" x14ac:dyDescent="0.25">
      <c r="A349" s="26" t="s">
        <v>866</v>
      </c>
      <c r="B349" t="s">
        <v>6</v>
      </c>
      <c r="C349" t="s">
        <v>408</v>
      </c>
      <c r="D349" t="s">
        <v>170</v>
      </c>
      <c r="E349">
        <v>263654.78443113773</v>
      </c>
      <c r="F349">
        <v>60</v>
      </c>
      <c r="G349" t="s">
        <v>698</v>
      </c>
      <c r="H349">
        <v>1</v>
      </c>
    </row>
    <row r="350" spans="1:8" x14ac:dyDescent="0.25">
      <c r="A350" s="26" t="s">
        <v>867</v>
      </c>
      <c r="B350" t="s">
        <v>6</v>
      </c>
      <c r="C350" t="s">
        <v>408</v>
      </c>
      <c r="D350" t="s">
        <v>170</v>
      </c>
      <c r="E350">
        <v>263654.78443113773</v>
      </c>
      <c r="F350">
        <v>60</v>
      </c>
      <c r="G350" t="s">
        <v>696</v>
      </c>
      <c r="H350">
        <v>2</v>
      </c>
    </row>
    <row r="351" spans="1:8" x14ac:dyDescent="0.25">
      <c r="A351" s="26" t="s">
        <v>868</v>
      </c>
      <c r="B351" t="s">
        <v>6</v>
      </c>
      <c r="C351" t="s">
        <v>408</v>
      </c>
      <c r="D351" t="s">
        <v>170</v>
      </c>
      <c r="E351">
        <v>263654.78443113773</v>
      </c>
      <c r="F351">
        <v>60</v>
      </c>
      <c r="G351" t="s">
        <v>697</v>
      </c>
      <c r="H351">
        <v>1</v>
      </c>
    </row>
    <row r="352" spans="1:8" x14ac:dyDescent="0.25">
      <c r="A352" s="26" t="s">
        <v>869</v>
      </c>
      <c r="B352" t="s">
        <v>6</v>
      </c>
      <c r="C352" t="s">
        <v>408</v>
      </c>
      <c r="D352" t="s">
        <v>170</v>
      </c>
      <c r="E352">
        <v>263654.78443113773</v>
      </c>
      <c r="F352">
        <v>60</v>
      </c>
      <c r="G352" t="s">
        <v>696</v>
      </c>
      <c r="H352">
        <v>1</v>
      </c>
    </row>
    <row r="353" spans="1:8" x14ac:dyDescent="0.25">
      <c r="A353" s="26" t="s">
        <v>870</v>
      </c>
      <c r="B353" t="s">
        <v>6</v>
      </c>
      <c r="C353" t="s">
        <v>408</v>
      </c>
      <c r="D353" t="s">
        <v>170</v>
      </c>
      <c r="E353">
        <v>263654.78443113773</v>
      </c>
      <c r="F353">
        <v>60</v>
      </c>
      <c r="G353" t="s">
        <v>697</v>
      </c>
      <c r="H353">
        <v>1</v>
      </c>
    </row>
    <row r="354" spans="1:8" x14ac:dyDescent="0.25">
      <c r="A354" s="26" t="s">
        <v>871</v>
      </c>
      <c r="B354" t="s">
        <v>6</v>
      </c>
      <c r="C354" t="s">
        <v>408</v>
      </c>
      <c r="D354" t="s">
        <v>170</v>
      </c>
      <c r="E354">
        <v>263654.78443113773</v>
      </c>
      <c r="F354">
        <v>60</v>
      </c>
      <c r="G354" t="s">
        <v>130</v>
      </c>
      <c r="H354">
        <v>1</v>
      </c>
    </row>
    <row r="355" spans="1:8" x14ac:dyDescent="0.25">
      <c r="A355" s="26" t="s">
        <v>872</v>
      </c>
      <c r="B355" t="s">
        <v>6</v>
      </c>
      <c r="C355" t="s">
        <v>408</v>
      </c>
      <c r="D355" t="s">
        <v>170</v>
      </c>
      <c r="E355">
        <v>263654.78443113773</v>
      </c>
      <c r="F355">
        <v>60</v>
      </c>
      <c r="G355" t="s">
        <v>698</v>
      </c>
      <c r="H355">
        <v>2</v>
      </c>
    </row>
    <row r="356" spans="1:8" x14ac:dyDescent="0.25">
      <c r="A356" s="26" t="s">
        <v>873</v>
      </c>
      <c r="B356" t="s">
        <v>6</v>
      </c>
      <c r="C356" t="s">
        <v>408</v>
      </c>
      <c r="D356" t="s">
        <v>170</v>
      </c>
      <c r="E356">
        <v>263654.78443113773</v>
      </c>
      <c r="F356">
        <v>60</v>
      </c>
      <c r="G356" t="s">
        <v>130</v>
      </c>
      <c r="H356">
        <v>2</v>
      </c>
    </row>
    <row r="357" spans="1:8" x14ac:dyDescent="0.25">
      <c r="A357" s="26" t="s">
        <v>874</v>
      </c>
      <c r="B357" t="s">
        <v>6</v>
      </c>
      <c r="C357" t="s">
        <v>408</v>
      </c>
      <c r="D357" t="s">
        <v>170</v>
      </c>
      <c r="E357">
        <v>263654.78443113773</v>
      </c>
      <c r="F357">
        <v>60</v>
      </c>
      <c r="G357" t="s">
        <v>697</v>
      </c>
      <c r="H357">
        <v>2</v>
      </c>
    </row>
    <row r="358" spans="1:8" x14ac:dyDescent="0.25">
      <c r="A358" s="26" t="s">
        <v>875</v>
      </c>
      <c r="B358" t="s">
        <v>6</v>
      </c>
      <c r="C358" t="s">
        <v>408</v>
      </c>
      <c r="D358" t="s">
        <v>170</v>
      </c>
      <c r="E358">
        <v>263654.78443113773</v>
      </c>
      <c r="F358">
        <v>60</v>
      </c>
      <c r="G358" t="s">
        <v>130</v>
      </c>
      <c r="H358">
        <v>1</v>
      </c>
    </row>
    <row r="359" spans="1:8" x14ac:dyDescent="0.25">
      <c r="A359" s="26" t="s">
        <v>876</v>
      </c>
      <c r="B359" t="s">
        <v>6</v>
      </c>
      <c r="C359" t="s">
        <v>408</v>
      </c>
      <c r="D359" t="s">
        <v>170</v>
      </c>
      <c r="E359">
        <v>263654.78443113773</v>
      </c>
      <c r="F359">
        <v>60</v>
      </c>
      <c r="G359" t="s">
        <v>697</v>
      </c>
      <c r="H359">
        <v>1</v>
      </c>
    </row>
    <row r="360" spans="1:8" x14ac:dyDescent="0.25">
      <c r="A360" s="26" t="s">
        <v>877</v>
      </c>
      <c r="B360" t="s">
        <v>6</v>
      </c>
      <c r="C360" t="s">
        <v>408</v>
      </c>
      <c r="D360" t="s">
        <v>170</v>
      </c>
      <c r="E360">
        <v>263654.78443113773</v>
      </c>
      <c r="F360">
        <v>60</v>
      </c>
      <c r="G360" t="s">
        <v>697</v>
      </c>
      <c r="H360">
        <v>1</v>
      </c>
    </row>
    <row r="361" spans="1:8" x14ac:dyDescent="0.25">
      <c r="A361" s="26" t="s">
        <v>878</v>
      </c>
      <c r="B361" t="s">
        <v>6</v>
      </c>
      <c r="C361" t="s">
        <v>408</v>
      </c>
      <c r="D361" t="s">
        <v>170</v>
      </c>
      <c r="E361">
        <v>263654.78443113773</v>
      </c>
      <c r="F361">
        <v>60</v>
      </c>
      <c r="G361" t="s">
        <v>697</v>
      </c>
      <c r="H361">
        <v>1</v>
      </c>
    </row>
    <row r="362" spans="1:8" x14ac:dyDescent="0.25">
      <c r="A362" s="26" t="s">
        <v>879</v>
      </c>
      <c r="B362" t="s">
        <v>21</v>
      </c>
      <c r="C362" t="s">
        <v>408</v>
      </c>
      <c r="D362" t="s">
        <v>172</v>
      </c>
      <c r="E362">
        <v>189271.85628742518</v>
      </c>
      <c r="F362">
        <v>30</v>
      </c>
      <c r="G362" t="s">
        <v>697</v>
      </c>
      <c r="H362">
        <v>1</v>
      </c>
    </row>
    <row r="363" spans="1:8" x14ac:dyDescent="0.25">
      <c r="A363" s="26" t="s">
        <v>880</v>
      </c>
      <c r="B363" t="s">
        <v>21</v>
      </c>
      <c r="C363" t="s">
        <v>408</v>
      </c>
      <c r="D363" t="s">
        <v>172</v>
      </c>
      <c r="E363">
        <v>189271.85628742518</v>
      </c>
      <c r="F363">
        <v>30</v>
      </c>
      <c r="G363" t="s">
        <v>697</v>
      </c>
      <c r="H363">
        <v>1</v>
      </c>
    </row>
    <row r="364" spans="1:8" x14ac:dyDescent="0.25">
      <c r="A364" s="26" t="s">
        <v>881</v>
      </c>
      <c r="B364" t="s">
        <v>21</v>
      </c>
      <c r="C364" t="s">
        <v>408</v>
      </c>
      <c r="D364" t="s">
        <v>172</v>
      </c>
      <c r="E364">
        <v>189271.85628742518</v>
      </c>
      <c r="F364">
        <v>30</v>
      </c>
      <c r="G364" t="s">
        <v>696</v>
      </c>
      <c r="H364">
        <v>1</v>
      </c>
    </row>
    <row r="365" spans="1:8" x14ac:dyDescent="0.25">
      <c r="A365" s="26" t="s">
        <v>882</v>
      </c>
      <c r="B365" t="s">
        <v>21</v>
      </c>
      <c r="C365" t="s">
        <v>408</v>
      </c>
      <c r="D365" t="s">
        <v>172</v>
      </c>
      <c r="E365">
        <v>189271.85628742518</v>
      </c>
      <c r="F365">
        <v>30</v>
      </c>
      <c r="G365" t="s">
        <v>697</v>
      </c>
      <c r="H365">
        <v>1</v>
      </c>
    </row>
    <row r="366" spans="1:8" x14ac:dyDescent="0.25">
      <c r="A366" s="26" t="s">
        <v>883</v>
      </c>
      <c r="B366" t="s">
        <v>21</v>
      </c>
      <c r="C366" t="s">
        <v>408</v>
      </c>
      <c r="D366" t="s">
        <v>172</v>
      </c>
      <c r="E366">
        <v>189271.85628742518</v>
      </c>
      <c r="F366">
        <v>30</v>
      </c>
      <c r="G366" t="s">
        <v>698</v>
      </c>
      <c r="H366">
        <v>1</v>
      </c>
    </row>
    <row r="367" spans="1:8" x14ac:dyDescent="0.25">
      <c r="A367" s="26" t="s">
        <v>884</v>
      </c>
      <c r="B367" t="s">
        <v>21</v>
      </c>
      <c r="C367" t="s">
        <v>408</v>
      </c>
      <c r="D367" t="s">
        <v>172</v>
      </c>
      <c r="E367">
        <v>189271.85628742518</v>
      </c>
      <c r="F367">
        <v>30</v>
      </c>
      <c r="G367" t="s">
        <v>698</v>
      </c>
      <c r="H367">
        <v>1</v>
      </c>
    </row>
    <row r="368" spans="1:8" x14ac:dyDescent="0.25">
      <c r="A368" s="26" t="s">
        <v>885</v>
      </c>
      <c r="B368" t="s">
        <v>21</v>
      </c>
      <c r="C368" t="s">
        <v>408</v>
      </c>
      <c r="D368" t="s">
        <v>172</v>
      </c>
      <c r="E368">
        <v>189271.85628742518</v>
      </c>
      <c r="F368">
        <v>30</v>
      </c>
      <c r="G368" t="s">
        <v>697</v>
      </c>
      <c r="H368">
        <v>1</v>
      </c>
    </row>
    <row r="369" spans="1:8" x14ac:dyDescent="0.25">
      <c r="A369" s="26" t="s">
        <v>886</v>
      </c>
      <c r="B369" t="s">
        <v>21</v>
      </c>
      <c r="C369" t="s">
        <v>408</v>
      </c>
      <c r="D369" t="s">
        <v>172</v>
      </c>
      <c r="E369">
        <v>189271.85628742518</v>
      </c>
      <c r="F369">
        <v>30</v>
      </c>
      <c r="G369" t="s">
        <v>698</v>
      </c>
      <c r="H369">
        <v>1</v>
      </c>
    </row>
    <row r="370" spans="1:8" x14ac:dyDescent="0.25">
      <c r="A370" s="26" t="s">
        <v>887</v>
      </c>
      <c r="B370" t="s">
        <v>21</v>
      </c>
      <c r="C370" t="s">
        <v>408</v>
      </c>
      <c r="D370" t="s">
        <v>172</v>
      </c>
      <c r="E370">
        <v>189271.85628742518</v>
      </c>
      <c r="F370">
        <v>30</v>
      </c>
      <c r="G370" t="s">
        <v>698</v>
      </c>
      <c r="H370">
        <v>1</v>
      </c>
    </row>
    <row r="371" spans="1:8" x14ac:dyDescent="0.25">
      <c r="A371" s="26" t="s">
        <v>888</v>
      </c>
      <c r="B371" t="s">
        <v>21</v>
      </c>
      <c r="C371" t="s">
        <v>408</v>
      </c>
      <c r="D371" t="s">
        <v>172</v>
      </c>
      <c r="E371">
        <v>189271.85628742518</v>
      </c>
      <c r="F371">
        <v>30</v>
      </c>
      <c r="G371" t="s">
        <v>696</v>
      </c>
      <c r="H371">
        <v>1</v>
      </c>
    </row>
    <row r="372" spans="1:8" x14ac:dyDescent="0.25">
      <c r="A372" s="26" t="s">
        <v>889</v>
      </c>
      <c r="B372" t="s">
        <v>21</v>
      </c>
      <c r="C372" t="s">
        <v>408</v>
      </c>
      <c r="D372" t="s">
        <v>172</v>
      </c>
      <c r="E372">
        <v>189271.85628742518</v>
      </c>
      <c r="F372">
        <v>30</v>
      </c>
      <c r="G372" t="s">
        <v>698</v>
      </c>
      <c r="H372">
        <v>1</v>
      </c>
    </row>
    <row r="373" spans="1:8" x14ac:dyDescent="0.25">
      <c r="A373" s="26" t="s">
        <v>890</v>
      </c>
      <c r="B373" t="s">
        <v>21</v>
      </c>
      <c r="C373" t="s">
        <v>408</v>
      </c>
      <c r="D373" t="s">
        <v>172</v>
      </c>
      <c r="E373">
        <v>189271.85628742518</v>
      </c>
      <c r="F373">
        <v>30</v>
      </c>
      <c r="G373" t="s">
        <v>698</v>
      </c>
      <c r="H373">
        <v>1</v>
      </c>
    </row>
    <row r="374" spans="1:8" x14ac:dyDescent="0.25">
      <c r="A374" s="26" t="s">
        <v>891</v>
      </c>
      <c r="B374" t="s">
        <v>21</v>
      </c>
      <c r="C374" t="s">
        <v>408</v>
      </c>
      <c r="D374" t="s">
        <v>172</v>
      </c>
      <c r="E374">
        <v>189271.85628742518</v>
      </c>
      <c r="F374">
        <v>30</v>
      </c>
      <c r="G374" t="s">
        <v>697</v>
      </c>
      <c r="H374">
        <v>1</v>
      </c>
    </row>
    <row r="375" spans="1:8" x14ac:dyDescent="0.25">
      <c r="A375" s="26" t="s">
        <v>892</v>
      </c>
      <c r="B375" t="s">
        <v>21</v>
      </c>
      <c r="C375" t="s">
        <v>408</v>
      </c>
      <c r="D375" t="s">
        <v>172</v>
      </c>
      <c r="E375">
        <v>189271.85628742518</v>
      </c>
      <c r="F375">
        <v>30</v>
      </c>
      <c r="G375" t="s">
        <v>697</v>
      </c>
      <c r="H375">
        <v>1</v>
      </c>
    </row>
    <row r="376" spans="1:8" x14ac:dyDescent="0.25">
      <c r="A376" s="26" t="s">
        <v>893</v>
      </c>
      <c r="B376" t="s">
        <v>21</v>
      </c>
      <c r="C376" t="s">
        <v>408</v>
      </c>
      <c r="D376" t="s">
        <v>172</v>
      </c>
      <c r="E376">
        <v>189271.85628742518</v>
      </c>
      <c r="F376">
        <v>30</v>
      </c>
      <c r="G376" t="s">
        <v>697</v>
      </c>
      <c r="H376">
        <v>2</v>
      </c>
    </row>
    <row r="377" spans="1:8" x14ac:dyDescent="0.25">
      <c r="A377" s="26" t="s">
        <v>894</v>
      </c>
      <c r="B377" t="s">
        <v>21</v>
      </c>
      <c r="C377" t="s">
        <v>408</v>
      </c>
      <c r="D377" t="s">
        <v>172</v>
      </c>
      <c r="E377">
        <v>189271.85628742518</v>
      </c>
      <c r="F377">
        <v>30</v>
      </c>
      <c r="G377" t="s">
        <v>697</v>
      </c>
      <c r="H377">
        <v>1</v>
      </c>
    </row>
    <row r="378" spans="1:8" x14ac:dyDescent="0.25">
      <c r="A378" s="26" t="s">
        <v>895</v>
      </c>
      <c r="B378" t="s">
        <v>21</v>
      </c>
      <c r="C378" t="s">
        <v>408</v>
      </c>
      <c r="D378" t="s">
        <v>172</v>
      </c>
      <c r="E378">
        <v>189271.85628742518</v>
      </c>
      <c r="F378">
        <v>30</v>
      </c>
      <c r="G378" t="s">
        <v>697</v>
      </c>
      <c r="H378">
        <v>1</v>
      </c>
    </row>
    <row r="379" spans="1:8" x14ac:dyDescent="0.25">
      <c r="A379" s="26" t="s">
        <v>896</v>
      </c>
      <c r="B379" t="s">
        <v>21</v>
      </c>
      <c r="C379" t="s">
        <v>408</v>
      </c>
      <c r="D379" t="s">
        <v>172</v>
      </c>
      <c r="E379">
        <v>189271.85628742518</v>
      </c>
      <c r="F379">
        <v>30</v>
      </c>
      <c r="G379" t="s">
        <v>697</v>
      </c>
      <c r="H379">
        <v>1</v>
      </c>
    </row>
    <row r="380" spans="1:8" x14ac:dyDescent="0.25">
      <c r="A380" s="26" t="s">
        <v>897</v>
      </c>
      <c r="B380" t="s">
        <v>21</v>
      </c>
      <c r="C380" t="s">
        <v>408</v>
      </c>
      <c r="D380" t="s">
        <v>172</v>
      </c>
      <c r="E380">
        <v>189271.85628742518</v>
      </c>
      <c r="F380">
        <v>30</v>
      </c>
      <c r="G380" t="s">
        <v>696</v>
      </c>
      <c r="H380">
        <v>1</v>
      </c>
    </row>
    <row r="381" spans="1:8" x14ac:dyDescent="0.25">
      <c r="A381" s="26" t="s">
        <v>898</v>
      </c>
      <c r="B381" t="s">
        <v>21</v>
      </c>
      <c r="C381" t="s">
        <v>408</v>
      </c>
      <c r="D381" t="s">
        <v>172</v>
      </c>
      <c r="E381">
        <v>189271.85628742518</v>
      </c>
      <c r="F381">
        <v>30</v>
      </c>
      <c r="G381" t="s">
        <v>696</v>
      </c>
      <c r="H381">
        <v>1</v>
      </c>
    </row>
    <row r="382" spans="1:8" x14ac:dyDescent="0.25">
      <c r="A382" s="26" t="s">
        <v>899</v>
      </c>
      <c r="B382" t="s">
        <v>21</v>
      </c>
      <c r="C382" t="s">
        <v>408</v>
      </c>
      <c r="D382" t="s">
        <v>172</v>
      </c>
      <c r="E382">
        <v>189271.85628742518</v>
      </c>
      <c r="F382">
        <v>30</v>
      </c>
      <c r="G382" t="s">
        <v>698</v>
      </c>
      <c r="H382">
        <v>1</v>
      </c>
    </row>
    <row r="383" spans="1:8" x14ac:dyDescent="0.25">
      <c r="A383" s="26" t="s">
        <v>900</v>
      </c>
      <c r="B383" t="s">
        <v>21</v>
      </c>
      <c r="C383" t="s">
        <v>408</v>
      </c>
      <c r="D383" t="s">
        <v>172</v>
      </c>
      <c r="E383">
        <v>189271.85628742518</v>
      </c>
      <c r="F383">
        <v>30</v>
      </c>
      <c r="G383" t="s">
        <v>697</v>
      </c>
      <c r="H383">
        <v>1</v>
      </c>
    </row>
    <row r="384" spans="1:8" x14ac:dyDescent="0.25">
      <c r="A384" s="26" t="s">
        <v>901</v>
      </c>
      <c r="B384" t="s">
        <v>21</v>
      </c>
      <c r="C384" t="s">
        <v>408</v>
      </c>
      <c r="D384" t="s">
        <v>172</v>
      </c>
      <c r="E384">
        <v>189271.85628742518</v>
      </c>
      <c r="F384">
        <v>30</v>
      </c>
      <c r="G384" t="s">
        <v>130</v>
      </c>
      <c r="H384">
        <v>1</v>
      </c>
    </row>
    <row r="385" spans="1:8" x14ac:dyDescent="0.25">
      <c r="A385" s="26" t="s">
        <v>902</v>
      </c>
      <c r="B385" t="s">
        <v>21</v>
      </c>
      <c r="C385" t="s">
        <v>408</v>
      </c>
      <c r="D385" t="s">
        <v>172</v>
      </c>
      <c r="E385">
        <v>189271.85628742518</v>
      </c>
      <c r="F385">
        <v>30</v>
      </c>
      <c r="G385" t="s">
        <v>697</v>
      </c>
      <c r="H385">
        <v>1</v>
      </c>
    </row>
    <row r="386" spans="1:8" x14ac:dyDescent="0.25">
      <c r="A386" s="26" t="s">
        <v>903</v>
      </c>
      <c r="B386" t="s">
        <v>21</v>
      </c>
      <c r="C386" t="s">
        <v>408</v>
      </c>
      <c r="D386" t="s">
        <v>172</v>
      </c>
      <c r="E386">
        <v>189271.85628742518</v>
      </c>
      <c r="F386">
        <v>30</v>
      </c>
      <c r="G386" t="s">
        <v>697</v>
      </c>
      <c r="H386">
        <v>1</v>
      </c>
    </row>
    <row r="387" spans="1:8" x14ac:dyDescent="0.25">
      <c r="A387" s="26" t="s">
        <v>904</v>
      </c>
      <c r="B387" t="s">
        <v>21</v>
      </c>
      <c r="C387" t="s">
        <v>408</v>
      </c>
      <c r="D387" t="s">
        <v>172</v>
      </c>
      <c r="E387">
        <v>189271.85628742518</v>
      </c>
      <c r="F387">
        <v>30</v>
      </c>
      <c r="G387" t="s">
        <v>697</v>
      </c>
      <c r="H387">
        <v>1</v>
      </c>
    </row>
    <row r="388" spans="1:8" x14ac:dyDescent="0.25">
      <c r="A388" s="26" t="s">
        <v>905</v>
      </c>
      <c r="B388" t="s">
        <v>21</v>
      </c>
      <c r="C388" t="s">
        <v>408</v>
      </c>
      <c r="D388" t="s">
        <v>172</v>
      </c>
      <c r="E388">
        <v>189271.85628742518</v>
      </c>
      <c r="F388">
        <v>30</v>
      </c>
      <c r="G388" t="s">
        <v>697</v>
      </c>
      <c r="H388">
        <v>2</v>
      </c>
    </row>
    <row r="389" spans="1:8" x14ac:dyDescent="0.25">
      <c r="A389" s="26" t="s">
        <v>906</v>
      </c>
      <c r="B389" t="s">
        <v>21</v>
      </c>
      <c r="C389" t="s">
        <v>408</v>
      </c>
      <c r="D389" t="s">
        <v>172</v>
      </c>
      <c r="E389">
        <v>189271.85628742518</v>
      </c>
      <c r="F389">
        <v>30</v>
      </c>
      <c r="G389" t="s">
        <v>697</v>
      </c>
      <c r="H389">
        <v>1</v>
      </c>
    </row>
    <row r="390" spans="1:8" x14ac:dyDescent="0.25">
      <c r="A390" s="26" t="s">
        <v>907</v>
      </c>
      <c r="B390" t="s">
        <v>21</v>
      </c>
      <c r="C390" t="s">
        <v>408</v>
      </c>
      <c r="D390" t="s">
        <v>172</v>
      </c>
      <c r="E390">
        <v>189271.85628742518</v>
      </c>
      <c r="F390">
        <v>30</v>
      </c>
      <c r="G390" t="s">
        <v>130</v>
      </c>
      <c r="H390">
        <v>1</v>
      </c>
    </row>
    <row r="391" spans="1:8" x14ac:dyDescent="0.25">
      <c r="A391" s="26" t="s">
        <v>908</v>
      </c>
      <c r="B391" t="s">
        <v>21</v>
      </c>
      <c r="C391" t="s">
        <v>408</v>
      </c>
      <c r="D391" t="s">
        <v>172</v>
      </c>
      <c r="E391">
        <v>189271.85628742518</v>
      </c>
      <c r="F391">
        <v>30</v>
      </c>
      <c r="G391" t="s">
        <v>696</v>
      </c>
      <c r="H391">
        <v>1</v>
      </c>
    </row>
    <row r="392" spans="1:8" x14ac:dyDescent="0.25">
      <c r="A392" s="26" t="s">
        <v>909</v>
      </c>
      <c r="B392" t="s">
        <v>21</v>
      </c>
      <c r="C392" t="s">
        <v>408</v>
      </c>
      <c r="D392" t="s">
        <v>172</v>
      </c>
      <c r="E392">
        <v>197682.63473053894</v>
      </c>
      <c r="F392">
        <v>30</v>
      </c>
      <c r="G392" t="s">
        <v>697</v>
      </c>
      <c r="H392">
        <v>1</v>
      </c>
    </row>
    <row r="393" spans="1:8" x14ac:dyDescent="0.25">
      <c r="A393" s="26" t="s">
        <v>910</v>
      </c>
      <c r="B393" t="s">
        <v>21</v>
      </c>
      <c r="C393" t="s">
        <v>408</v>
      </c>
      <c r="D393" t="s">
        <v>172</v>
      </c>
      <c r="E393">
        <v>197682.63473053894</v>
      </c>
      <c r="F393">
        <v>30</v>
      </c>
      <c r="G393" t="s">
        <v>697</v>
      </c>
      <c r="H393">
        <v>1</v>
      </c>
    </row>
    <row r="394" spans="1:8" x14ac:dyDescent="0.25">
      <c r="A394" s="26" t="s">
        <v>911</v>
      </c>
      <c r="B394" t="s">
        <v>21</v>
      </c>
      <c r="C394" t="s">
        <v>408</v>
      </c>
      <c r="D394" t="s">
        <v>172</v>
      </c>
      <c r="E394">
        <v>197682.63473053894</v>
      </c>
      <c r="F394">
        <v>30</v>
      </c>
      <c r="G394" t="s">
        <v>697</v>
      </c>
      <c r="H394">
        <v>1</v>
      </c>
    </row>
    <row r="395" spans="1:8" x14ac:dyDescent="0.25">
      <c r="A395" s="26" t="s">
        <v>912</v>
      </c>
      <c r="B395" t="s">
        <v>21</v>
      </c>
      <c r="C395" t="s">
        <v>408</v>
      </c>
      <c r="D395" t="s">
        <v>172</v>
      </c>
      <c r="E395">
        <v>197682.63473053894</v>
      </c>
      <c r="F395">
        <v>30</v>
      </c>
      <c r="G395" t="s">
        <v>697</v>
      </c>
      <c r="H395">
        <v>2</v>
      </c>
    </row>
    <row r="396" spans="1:8" x14ac:dyDescent="0.25">
      <c r="A396" s="26" t="s">
        <v>913</v>
      </c>
      <c r="B396" t="s">
        <v>21</v>
      </c>
      <c r="C396" t="s">
        <v>408</v>
      </c>
      <c r="D396" t="s">
        <v>172</v>
      </c>
      <c r="E396">
        <v>197682.63473053894</v>
      </c>
      <c r="F396">
        <v>30</v>
      </c>
      <c r="G396" t="s">
        <v>696</v>
      </c>
      <c r="H396">
        <v>1</v>
      </c>
    </row>
    <row r="397" spans="1:8" x14ac:dyDescent="0.25">
      <c r="A397" s="26" t="s">
        <v>914</v>
      </c>
      <c r="B397" t="s">
        <v>21</v>
      </c>
      <c r="C397" t="s">
        <v>408</v>
      </c>
      <c r="D397" t="s">
        <v>172</v>
      </c>
      <c r="E397">
        <v>197682.63473053894</v>
      </c>
      <c r="F397">
        <v>30</v>
      </c>
      <c r="G397" t="s">
        <v>697</v>
      </c>
      <c r="H397">
        <v>1</v>
      </c>
    </row>
    <row r="398" spans="1:8" x14ac:dyDescent="0.25">
      <c r="A398" s="26" t="s">
        <v>915</v>
      </c>
      <c r="B398" t="s">
        <v>21</v>
      </c>
      <c r="C398" t="s">
        <v>408</v>
      </c>
      <c r="D398" t="s">
        <v>172</v>
      </c>
      <c r="E398">
        <v>197682.63473053894</v>
      </c>
      <c r="F398">
        <v>30</v>
      </c>
      <c r="G398" t="s">
        <v>697</v>
      </c>
      <c r="H398">
        <v>1</v>
      </c>
    </row>
    <row r="399" spans="1:8" x14ac:dyDescent="0.25">
      <c r="A399" s="26" t="s">
        <v>916</v>
      </c>
      <c r="B399" t="s">
        <v>21</v>
      </c>
      <c r="C399" t="s">
        <v>408</v>
      </c>
      <c r="D399" t="s">
        <v>172</v>
      </c>
      <c r="E399">
        <v>197682.63473053894</v>
      </c>
      <c r="F399">
        <v>30</v>
      </c>
      <c r="G399" t="s">
        <v>696</v>
      </c>
      <c r="H399">
        <v>2</v>
      </c>
    </row>
    <row r="400" spans="1:8" x14ac:dyDescent="0.25">
      <c r="A400" s="26" t="s">
        <v>917</v>
      </c>
      <c r="B400" t="s">
        <v>21</v>
      </c>
      <c r="C400" t="s">
        <v>408</v>
      </c>
      <c r="D400" t="s">
        <v>172</v>
      </c>
      <c r="E400">
        <v>197682.63473053894</v>
      </c>
      <c r="F400">
        <v>30</v>
      </c>
      <c r="G400" t="s">
        <v>696</v>
      </c>
      <c r="H400">
        <v>1</v>
      </c>
    </row>
    <row r="401" spans="1:8" x14ac:dyDescent="0.25">
      <c r="A401" s="26" t="s">
        <v>918</v>
      </c>
      <c r="B401" t="s">
        <v>21</v>
      </c>
      <c r="C401" t="s">
        <v>408</v>
      </c>
      <c r="D401" t="s">
        <v>172</v>
      </c>
      <c r="E401">
        <v>197682.63473053894</v>
      </c>
      <c r="F401">
        <v>30</v>
      </c>
      <c r="G401" t="s">
        <v>696</v>
      </c>
      <c r="H401">
        <v>1</v>
      </c>
    </row>
    <row r="402" spans="1:8" x14ac:dyDescent="0.25">
      <c r="A402" s="26" t="s">
        <v>919</v>
      </c>
      <c r="B402" t="s">
        <v>21</v>
      </c>
      <c r="C402" t="s">
        <v>408</v>
      </c>
      <c r="D402" t="s">
        <v>172</v>
      </c>
      <c r="E402">
        <v>197682.63473053894</v>
      </c>
      <c r="F402">
        <v>30</v>
      </c>
      <c r="G402" t="s">
        <v>696</v>
      </c>
      <c r="H402">
        <v>1</v>
      </c>
    </row>
    <row r="403" spans="1:8" x14ac:dyDescent="0.25">
      <c r="A403" s="26" t="s">
        <v>920</v>
      </c>
      <c r="B403" t="s">
        <v>21</v>
      </c>
      <c r="C403" t="s">
        <v>408</v>
      </c>
      <c r="D403" t="s">
        <v>172</v>
      </c>
      <c r="E403">
        <v>197682.63473053894</v>
      </c>
      <c r="F403">
        <v>30</v>
      </c>
      <c r="G403" t="s">
        <v>696</v>
      </c>
      <c r="H403">
        <v>1</v>
      </c>
    </row>
    <row r="404" spans="1:8" x14ac:dyDescent="0.25">
      <c r="A404" s="26" t="s">
        <v>921</v>
      </c>
      <c r="B404" t="s">
        <v>21</v>
      </c>
      <c r="C404" t="s">
        <v>408</v>
      </c>
      <c r="D404" t="s">
        <v>172</v>
      </c>
      <c r="E404">
        <v>197682.63473053894</v>
      </c>
      <c r="F404">
        <v>30</v>
      </c>
      <c r="G404" t="s">
        <v>696</v>
      </c>
      <c r="H404">
        <v>1</v>
      </c>
    </row>
    <row r="405" spans="1:8" x14ac:dyDescent="0.25">
      <c r="A405" s="26" t="s">
        <v>922</v>
      </c>
      <c r="B405" t="s">
        <v>21</v>
      </c>
      <c r="C405" t="s">
        <v>408</v>
      </c>
      <c r="D405" t="s">
        <v>172</v>
      </c>
      <c r="E405">
        <v>197682.63473053894</v>
      </c>
      <c r="F405">
        <v>30</v>
      </c>
      <c r="G405" t="s">
        <v>697</v>
      </c>
      <c r="H405">
        <v>1</v>
      </c>
    </row>
    <row r="406" spans="1:8" x14ac:dyDescent="0.25">
      <c r="A406" s="26" t="s">
        <v>923</v>
      </c>
      <c r="B406" t="s">
        <v>21</v>
      </c>
      <c r="C406" t="s">
        <v>408</v>
      </c>
      <c r="D406" t="s">
        <v>172</v>
      </c>
      <c r="E406">
        <v>197682.63473053894</v>
      </c>
      <c r="F406">
        <v>30</v>
      </c>
      <c r="G406" t="s">
        <v>697</v>
      </c>
      <c r="H406">
        <v>1</v>
      </c>
    </row>
    <row r="407" spans="1:8" x14ac:dyDescent="0.25">
      <c r="A407" s="26" t="s">
        <v>924</v>
      </c>
      <c r="B407" t="s">
        <v>21</v>
      </c>
      <c r="C407" t="s">
        <v>408</v>
      </c>
      <c r="D407" t="s">
        <v>172</v>
      </c>
      <c r="E407">
        <v>197682.63473053894</v>
      </c>
      <c r="F407">
        <v>30</v>
      </c>
      <c r="G407" t="s">
        <v>697</v>
      </c>
      <c r="H407">
        <v>1</v>
      </c>
    </row>
    <row r="408" spans="1:8" x14ac:dyDescent="0.25">
      <c r="A408" s="26" t="s">
        <v>925</v>
      </c>
      <c r="B408" t="s">
        <v>21</v>
      </c>
      <c r="C408" t="s">
        <v>408</v>
      </c>
      <c r="D408" t="s">
        <v>172</v>
      </c>
      <c r="E408">
        <v>197682.63473053894</v>
      </c>
      <c r="F408">
        <v>30</v>
      </c>
      <c r="G408" t="s">
        <v>697</v>
      </c>
      <c r="H408">
        <v>1</v>
      </c>
    </row>
    <row r="409" spans="1:8" x14ac:dyDescent="0.25">
      <c r="A409" s="26" t="s">
        <v>926</v>
      </c>
      <c r="B409" t="s">
        <v>21</v>
      </c>
      <c r="C409" t="s">
        <v>408</v>
      </c>
      <c r="D409" t="s">
        <v>172</v>
      </c>
      <c r="E409">
        <v>197682.63473053894</v>
      </c>
      <c r="F409">
        <v>30</v>
      </c>
      <c r="G409" t="s">
        <v>130</v>
      </c>
      <c r="H409">
        <v>1</v>
      </c>
    </row>
    <row r="410" spans="1:8" x14ac:dyDescent="0.25">
      <c r="A410" s="26" t="s">
        <v>927</v>
      </c>
      <c r="B410" t="s">
        <v>21</v>
      </c>
      <c r="C410" t="s">
        <v>408</v>
      </c>
      <c r="D410" t="s">
        <v>172</v>
      </c>
      <c r="E410">
        <v>197682.63473053894</v>
      </c>
      <c r="F410">
        <v>30</v>
      </c>
      <c r="G410" t="s">
        <v>130</v>
      </c>
      <c r="H410">
        <v>1</v>
      </c>
    </row>
    <row r="411" spans="1:8" x14ac:dyDescent="0.25">
      <c r="A411" s="26" t="s">
        <v>928</v>
      </c>
      <c r="B411" t="s">
        <v>21</v>
      </c>
      <c r="C411" t="s">
        <v>408</v>
      </c>
      <c r="D411" t="s">
        <v>172</v>
      </c>
      <c r="E411">
        <v>197682.63473053894</v>
      </c>
      <c r="F411">
        <v>30</v>
      </c>
      <c r="G411" t="s">
        <v>697</v>
      </c>
      <c r="H411">
        <v>1</v>
      </c>
    </row>
    <row r="412" spans="1:8" x14ac:dyDescent="0.25">
      <c r="A412" s="26" t="s">
        <v>929</v>
      </c>
      <c r="B412" t="s">
        <v>21</v>
      </c>
      <c r="C412" t="s">
        <v>408</v>
      </c>
      <c r="D412" t="s">
        <v>172</v>
      </c>
      <c r="E412">
        <v>197682.63473053894</v>
      </c>
      <c r="F412">
        <v>30</v>
      </c>
      <c r="G412" t="s">
        <v>696</v>
      </c>
      <c r="H412">
        <v>1</v>
      </c>
    </row>
    <row r="413" spans="1:8" x14ac:dyDescent="0.25">
      <c r="A413" s="26" t="s">
        <v>930</v>
      </c>
      <c r="B413" t="s">
        <v>21</v>
      </c>
      <c r="C413" t="s">
        <v>408</v>
      </c>
      <c r="D413" t="s">
        <v>172</v>
      </c>
      <c r="E413">
        <v>197682.63473053894</v>
      </c>
      <c r="F413">
        <v>30</v>
      </c>
      <c r="G413" t="s">
        <v>697</v>
      </c>
      <c r="H413">
        <v>2</v>
      </c>
    </row>
    <row r="414" spans="1:8" x14ac:dyDescent="0.25">
      <c r="A414" s="26" t="s">
        <v>931</v>
      </c>
      <c r="B414" t="s">
        <v>21</v>
      </c>
      <c r="C414" t="s">
        <v>408</v>
      </c>
      <c r="D414" t="s">
        <v>172</v>
      </c>
      <c r="E414">
        <v>197682.63473053894</v>
      </c>
      <c r="F414">
        <v>30</v>
      </c>
      <c r="G414" t="s">
        <v>130</v>
      </c>
      <c r="H414">
        <v>1</v>
      </c>
    </row>
    <row r="415" spans="1:8" x14ac:dyDescent="0.25">
      <c r="A415" s="26" t="s">
        <v>932</v>
      </c>
      <c r="B415" t="s">
        <v>21</v>
      </c>
      <c r="C415" t="s">
        <v>408</v>
      </c>
      <c r="D415" t="s">
        <v>172</v>
      </c>
      <c r="E415">
        <v>197682.63473053894</v>
      </c>
      <c r="F415">
        <v>30</v>
      </c>
      <c r="G415" t="s">
        <v>130</v>
      </c>
      <c r="H415">
        <v>1</v>
      </c>
    </row>
    <row r="416" spans="1:8" x14ac:dyDescent="0.25">
      <c r="A416" s="26" t="s">
        <v>933</v>
      </c>
      <c r="B416" t="s">
        <v>21</v>
      </c>
      <c r="C416" t="s">
        <v>408</v>
      </c>
      <c r="D416" t="s">
        <v>172</v>
      </c>
      <c r="E416">
        <v>197682.63473053894</v>
      </c>
      <c r="F416">
        <v>30</v>
      </c>
      <c r="G416" t="s">
        <v>130</v>
      </c>
      <c r="H416">
        <v>1</v>
      </c>
    </row>
    <row r="417" spans="1:8" x14ac:dyDescent="0.25">
      <c r="A417" s="26" t="s">
        <v>934</v>
      </c>
      <c r="B417" t="s">
        <v>21</v>
      </c>
      <c r="C417" t="s">
        <v>408</v>
      </c>
      <c r="D417" t="s">
        <v>172</v>
      </c>
      <c r="E417">
        <v>197682.63473053894</v>
      </c>
      <c r="F417">
        <v>30</v>
      </c>
      <c r="G417" t="s">
        <v>697</v>
      </c>
      <c r="H417">
        <v>1</v>
      </c>
    </row>
    <row r="418" spans="1:8" x14ac:dyDescent="0.25">
      <c r="A418" s="26" t="s">
        <v>935</v>
      </c>
      <c r="B418" t="s">
        <v>21</v>
      </c>
      <c r="C418" t="s">
        <v>408</v>
      </c>
      <c r="D418" t="s">
        <v>172</v>
      </c>
      <c r="E418">
        <v>197682.63473053894</v>
      </c>
      <c r="F418">
        <v>30</v>
      </c>
      <c r="G418" t="s">
        <v>697</v>
      </c>
      <c r="H418">
        <v>1</v>
      </c>
    </row>
    <row r="419" spans="1:8" x14ac:dyDescent="0.25">
      <c r="A419" s="26" t="s">
        <v>936</v>
      </c>
      <c r="B419" t="s">
        <v>21</v>
      </c>
      <c r="C419" t="s">
        <v>408</v>
      </c>
      <c r="D419" t="s">
        <v>172</v>
      </c>
      <c r="E419">
        <v>197682.63473053894</v>
      </c>
      <c r="F419">
        <v>30</v>
      </c>
      <c r="G419" t="s">
        <v>696</v>
      </c>
      <c r="H419">
        <v>1</v>
      </c>
    </row>
    <row r="420" spans="1:8" x14ac:dyDescent="0.25">
      <c r="A420" s="26" t="s">
        <v>937</v>
      </c>
      <c r="B420" t="s">
        <v>21</v>
      </c>
      <c r="C420" t="s">
        <v>408</v>
      </c>
      <c r="D420" t="s">
        <v>172</v>
      </c>
      <c r="E420">
        <v>197682.63473053894</v>
      </c>
      <c r="F420">
        <v>30</v>
      </c>
      <c r="G420" t="s">
        <v>696</v>
      </c>
      <c r="H420">
        <v>1</v>
      </c>
    </row>
    <row r="421" spans="1:8" x14ac:dyDescent="0.25">
      <c r="A421" s="26" t="s">
        <v>938</v>
      </c>
      <c r="B421" t="s">
        <v>21</v>
      </c>
      <c r="C421" t="s">
        <v>408</v>
      </c>
      <c r="D421" t="s">
        <v>172</v>
      </c>
      <c r="E421">
        <v>197682.63473053894</v>
      </c>
      <c r="F421">
        <v>30</v>
      </c>
      <c r="G421" t="s">
        <v>696</v>
      </c>
      <c r="H421">
        <v>1</v>
      </c>
    </row>
    <row r="422" spans="1:8" x14ac:dyDescent="0.25">
      <c r="A422" s="26" t="s">
        <v>939</v>
      </c>
      <c r="B422" t="s">
        <v>21</v>
      </c>
      <c r="C422" t="s">
        <v>408</v>
      </c>
      <c r="D422" t="s">
        <v>172</v>
      </c>
      <c r="E422">
        <v>205179.64071856285</v>
      </c>
      <c r="F422">
        <v>30</v>
      </c>
      <c r="G422" t="s">
        <v>697</v>
      </c>
      <c r="H422">
        <v>1</v>
      </c>
    </row>
    <row r="423" spans="1:8" x14ac:dyDescent="0.25">
      <c r="A423" s="26" t="s">
        <v>940</v>
      </c>
      <c r="B423" t="s">
        <v>21</v>
      </c>
      <c r="C423" t="s">
        <v>408</v>
      </c>
      <c r="D423" t="s">
        <v>172</v>
      </c>
      <c r="E423">
        <v>205179.64071856285</v>
      </c>
      <c r="F423">
        <v>30</v>
      </c>
      <c r="G423" t="s">
        <v>130</v>
      </c>
      <c r="H423">
        <v>1</v>
      </c>
    </row>
    <row r="424" spans="1:8" x14ac:dyDescent="0.25">
      <c r="A424" s="26" t="s">
        <v>941</v>
      </c>
      <c r="B424" t="s">
        <v>21</v>
      </c>
      <c r="C424" t="s">
        <v>408</v>
      </c>
      <c r="D424" t="s">
        <v>172</v>
      </c>
      <c r="E424">
        <v>205179.64071856285</v>
      </c>
      <c r="F424">
        <v>30</v>
      </c>
      <c r="G424" t="s">
        <v>130</v>
      </c>
      <c r="H424">
        <v>1</v>
      </c>
    </row>
    <row r="425" spans="1:8" x14ac:dyDescent="0.25">
      <c r="A425" s="26" t="s">
        <v>942</v>
      </c>
      <c r="B425" t="s">
        <v>21</v>
      </c>
      <c r="C425" t="s">
        <v>408</v>
      </c>
      <c r="D425" t="s">
        <v>172</v>
      </c>
      <c r="E425">
        <v>205179.64071856285</v>
      </c>
      <c r="F425">
        <v>30</v>
      </c>
      <c r="G425" t="s">
        <v>130</v>
      </c>
      <c r="H425">
        <v>2</v>
      </c>
    </row>
    <row r="426" spans="1:8" x14ac:dyDescent="0.25">
      <c r="A426" s="26" t="s">
        <v>943</v>
      </c>
      <c r="B426" t="s">
        <v>21</v>
      </c>
      <c r="C426" t="s">
        <v>408</v>
      </c>
      <c r="D426" t="s">
        <v>172</v>
      </c>
      <c r="E426">
        <v>205179.64071856285</v>
      </c>
      <c r="F426">
        <v>30</v>
      </c>
      <c r="G426" t="s">
        <v>130</v>
      </c>
      <c r="H426">
        <v>1</v>
      </c>
    </row>
    <row r="427" spans="1:8" x14ac:dyDescent="0.25">
      <c r="A427" s="26" t="s">
        <v>944</v>
      </c>
      <c r="B427" t="s">
        <v>21</v>
      </c>
      <c r="C427" t="s">
        <v>408</v>
      </c>
      <c r="D427" t="s">
        <v>172</v>
      </c>
      <c r="E427">
        <v>205179.64071856285</v>
      </c>
      <c r="F427">
        <v>30</v>
      </c>
      <c r="G427" t="s">
        <v>130</v>
      </c>
      <c r="H427">
        <v>1</v>
      </c>
    </row>
    <row r="428" spans="1:8" x14ac:dyDescent="0.25">
      <c r="A428" s="26" t="s">
        <v>945</v>
      </c>
      <c r="B428" t="s">
        <v>21</v>
      </c>
      <c r="C428" t="s">
        <v>408</v>
      </c>
      <c r="D428" t="s">
        <v>172</v>
      </c>
      <c r="E428">
        <v>205179.64071856285</v>
      </c>
      <c r="F428">
        <v>30</v>
      </c>
      <c r="G428" t="s">
        <v>130</v>
      </c>
      <c r="H428">
        <v>1</v>
      </c>
    </row>
    <row r="429" spans="1:8" x14ac:dyDescent="0.25">
      <c r="A429" s="26" t="s">
        <v>946</v>
      </c>
      <c r="B429" t="s">
        <v>21</v>
      </c>
      <c r="C429" t="s">
        <v>408</v>
      </c>
      <c r="D429" t="s">
        <v>172</v>
      </c>
      <c r="E429">
        <v>205179.64071856285</v>
      </c>
      <c r="F429">
        <v>30</v>
      </c>
      <c r="G429" t="s">
        <v>130</v>
      </c>
      <c r="H429">
        <v>1</v>
      </c>
    </row>
    <row r="430" spans="1:8" x14ac:dyDescent="0.25">
      <c r="A430" s="26" t="s">
        <v>947</v>
      </c>
      <c r="B430" t="s">
        <v>21</v>
      </c>
      <c r="C430" t="s">
        <v>408</v>
      </c>
      <c r="D430" t="s">
        <v>172</v>
      </c>
      <c r="E430">
        <v>205179.64071856285</v>
      </c>
      <c r="F430">
        <v>30</v>
      </c>
      <c r="G430" t="s">
        <v>696</v>
      </c>
      <c r="H430">
        <v>1</v>
      </c>
    </row>
    <row r="431" spans="1:8" x14ac:dyDescent="0.25">
      <c r="A431" s="26" t="s">
        <v>948</v>
      </c>
      <c r="B431" t="s">
        <v>21</v>
      </c>
      <c r="C431" t="s">
        <v>408</v>
      </c>
      <c r="D431" t="s">
        <v>172</v>
      </c>
      <c r="E431">
        <v>205179.64071856285</v>
      </c>
      <c r="F431">
        <v>30</v>
      </c>
      <c r="G431" t="s">
        <v>697</v>
      </c>
      <c r="H431">
        <v>1</v>
      </c>
    </row>
    <row r="432" spans="1:8" x14ac:dyDescent="0.25">
      <c r="A432" s="26" t="s">
        <v>949</v>
      </c>
      <c r="B432" t="s">
        <v>21</v>
      </c>
      <c r="C432" t="s">
        <v>408</v>
      </c>
      <c r="D432" t="s">
        <v>172</v>
      </c>
      <c r="E432">
        <v>205179.64071856285</v>
      </c>
      <c r="F432">
        <v>30</v>
      </c>
      <c r="G432" t="s">
        <v>697</v>
      </c>
      <c r="H432">
        <v>1</v>
      </c>
    </row>
    <row r="433" spans="1:8" x14ac:dyDescent="0.25">
      <c r="A433" s="26" t="s">
        <v>950</v>
      </c>
      <c r="B433" t="s">
        <v>21</v>
      </c>
      <c r="C433" t="s">
        <v>408</v>
      </c>
      <c r="D433" t="s">
        <v>172</v>
      </c>
      <c r="E433">
        <v>205179.64071856285</v>
      </c>
      <c r="F433">
        <v>30</v>
      </c>
      <c r="G433" t="s">
        <v>697</v>
      </c>
      <c r="H433">
        <v>1</v>
      </c>
    </row>
    <row r="434" spans="1:8" x14ac:dyDescent="0.25">
      <c r="A434" s="26" t="s">
        <v>951</v>
      </c>
      <c r="B434" t="s">
        <v>21</v>
      </c>
      <c r="C434" t="s">
        <v>408</v>
      </c>
      <c r="D434" t="s">
        <v>172</v>
      </c>
      <c r="E434">
        <v>205179.64071856285</v>
      </c>
      <c r="F434">
        <v>30</v>
      </c>
      <c r="G434" t="s">
        <v>697</v>
      </c>
      <c r="H434">
        <v>1</v>
      </c>
    </row>
    <row r="435" spans="1:8" x14ac:dyDescent="0.25">
      <c r="A435" s="26" t="s">
        <v>952</v>
      </c>
      <c r="B435" t="s">
        <v>21</v>
      </c>
      <c r="C435" t="s">
        <v>408</v>
      </c>
      <c r="D435" t="s">
        <v>172</v>
      </c>
      <c r="E435">
        <v>205179.64071856285</v>
      </c>
      <c r="F435">
        <v>30</v>
      </c>
      <c r="G435" t="s">
        <v>130</v>
      </c>
      <c r="H435">
        <v>1</v>
      </c>
    </row>
    <row r="436" spans="1:8" x14ac:dyDescent="0.25">
      <c r="A436" s="26" t="s">
        <v>953</v>
      </c>
      <c r="B436" t="s">
        <v>21</v>
      </c>
      <c r="C436" t="s">
        <v>408</v>
      </c>
      <c r="D436" t="s">
        <v>172</v>
      </c>
      <c r="E436">
        <v>205179.64071856285</v>
      </c>
      <c r="F436">
        <v>30</v>
      </c>
      <c r="G436" t="s">
        <v>130</v>
      </c>
      <c r="H436">
        <v>2</v>
      </c>
    </row>
    <row r="437" spans="1:8" x14ac:dyDescent="0.25">
      <c r="A437" s="26" t="s">
        <v>954</v>
      </c>
      <c r="B437" t="s">
        <v>21</v>
      </c>
      <c r="C437" t="s">
        <v>408</v>
      </c>
      <c r="D437" t="s">
        <v>172</v>
      </c>
      <c r="E437">
        <v>205179.64071856285</v>
      </c>
      <c r="F437">
        <v>30</v>
      </c>
      <c r="G437" t="s">
        <v>697</v>
      </c>
      <c r="H437">
        <v>4</v>
      </c>
    </row>
    <row r="438" spans="1:8" x14ac:dyDescent="0.25">
      <c r="A438" s="26" t="s">
        <v>955</v>
      </c>
      <c r="B438" t="s">
        <v>21</v>
      </c>
      <c r="C438" t="s">
        <v>408</v>
      </c>
      <c r="D438" t="s">
        <v>172</v>
      </c>
      <c r="E438">
        <v>205179.64071856285</v>
      </c>
      <c r="F438">
        <v>30</v>
      </c>
      <c r="G438" t="s">
        <v>697</v>
      </c>
      <c r="H438">
        <v>1</v>
      </c>
    </row>
    <row r="439" spans="1:8" x14ac:dyDescent="0.25">
      <c r="A439" s="26" t="s">
        <v>956</v>
      </c>
      <c r="B439" t="s">
        <v>21</v>
      </c>
      <c r="C439" t="s">
        <v>408</v>
      </c>
      <c r="D439" t="s">
        <v>172</v>
      </c>
      <c r="E439">
        <v>205179.64071856285</v>
      </c>
      <c r="F439">
        <v>30</v>
      </c>
      <c r="G439" t="s">
        <v>697</v>
      </c>
      <c r="H439">
        <v>1</v>
      </c>
    </row>
    <row r="440" spans="1:8" x14ac:dyDescent="0.25">
      <c r="A440" s="26" t="s">
        <v>957</v>
      </c>
      <c r="B440" t="s">
        <v>21</v>
      </c>
      <c r="C440" t="s">
        <v>408</v>
      </c>
      <c r="D440" t="s">
        <v>172</v>
      </c>
      <c r="E440">
        <v>205179.64071856285</v>
      </c>
      <c r="F440">
        <v>30</v>
      </c>
      <c r="G440" t="s">
        <v>697</v>
      </c>
      <c r="H440">
        <v>1</v>
      </c>
    </row>
    <row r="441" spans="1:8" x14ac:dyDescent="0.25">
      <c r="A441" s="26" t="s">
        <v>958</v>
      </c>
      <c r="B441" t="s">
        <v>21</v>
      </c>
      <c r="C441" t="s">
        <v>408</v>
      </c>
      <c r="D441" t="s">
        <v>172</v>
      </c>
      <c r="E441">
        <v>205179.64071856285</v>
      </c>
      <c r="F441">
        <v>30</v>
      </c>
      <c r="G441" t="s">
        <v>130</v>
      </c>
      <c r="H441">
        <v>1</v>
      </c>
    </row>
    <row r="442" spans="1:8" x14ac:dyDescent="0.25">
      <c r="A442" s="26" t="s">
        <v>959</v>
      </c>
      <c r="B442" t="s">
        <v>21</v>
      </c>
      <c r="C442" t="s">
        <v>408</v>
      </c>
      <c r="D442" t="s">
        <v>172</v>
      </c>
      <c r="E442">
        <v>205179.64071856285</v>
      </c>
      <c r="F442">
        <v>30</v>
      </c>
      <c r="G442" t="s">
        <v>130</v>
      </c>
      <c r="H442">
        <v>1</v>
      </c>
    </row>
    <row r="443" spans="1:8" x14ac:dyDescent="0.25">
      <c r="A443" s="26" t="s">
        <v>960</v>
      </c>
      <c r="B443" t="s">
        <v>21</v>
      </c>
      <c r="C443" t="s">
        <v>408</v>
      </c>
      <c r="D443" t="s">
        <v>172</v>
      </c>
      <c r="E443">
        <v>205179.64071856285</v>
      </c>
      <c r="F443">
        <v>30</v>
      </c>
      <c r="G443" t="s">
        <v>697</v>
      </c>
      <c r="H443">
        <v>1</v>
      </c>
    </row>
    <row r="444" spans="1:8" x14ac:dyDescent="0.25">
      <c r="A444" s="26" t="s">
        <v>961</v>
      </c>
      <c r="B444" t="s">
        <v>21</v>
      </c>
      <c r="C444" t="s">
        <v>408</v>
      </c>
      <c r="D444" t="s">
        <v>172</v>
      </c>
      <c r="E444">
        <v>205179.64071856285</v>
      </c>
      <c r="F444">
        <v>30</v>
      </c>
      <c r="G444" t="s">
        <v>697</v>
      </c>
      <c r="H444">
        <v>1</v>
      </c>
    </row>
    <row r="445" spans="1:8" x14ac:dyDescent="0.25">
      <c r="A445" s="26" t="s">
        <v>962</v>
      </c>
      <c r="B445" t="s">
        <v>21</v>
      </c>
      <c r="C445" t="s">
        <v>408</v>
      </c>
      <c r="D445" t="s">
        <v>172</v>
      </c>
      <c r="E445">
        <v>205179.64071856285</v>
      </c>
      <c r="F445">
        <v>30</v>
      </c>
      <c r="G445" t="s">
        <v>130</v>
      </c>
      <c r="H445">
        <v>1</v>
      </c>
    </row>
    <row r="446" spans="1:8" x14ac:dyDescent="0.25">
      <c r="A446" s="26" t="s">
        <v>963</v>
      </c>
      <c r="B446" t="s">
        <v>21</v>
      </c>
      <c r="C446" t="s">
        <v>408</v>
      </c>
      <c r="D446" t="s">
        <v>172</v>
      </c>
      <c r="E446">
        <v>205179.64071856285</v>
      </c>
      <c r="F446">
        <v>30</v>
      </c>
      <c r="G446" t="s">
        <v>130</v>
      </c>
      <c r="H446">
        <v>1</v>
      </c>
    </row>
    <row r="447" spans="1:8" x14ac:dyDescent="0.25">
      <c r="A447" s="26" t="s">
        <v>964</v>
      </c>
      <c r="B447" t="s">
        <v>21</v>
      </c>
      <c r="C447" t="s">
        <v>408</v>
      </c>
      <c r="D447" t="s">
        <v>172</v>
      </c>
      <c r="E447">
        <v>205179.64071856285</v>
      </c>
      <c r="F447">
        <v>30</v>
      </c>
      <c r="G447" t="s">
        <v>697</v>
      </c>
      <c r="H447">
        <v>2</v>
      </c>
    </row>
    <row r="448" spans="1:8" x14ac:dyDescent="0.25">
      <c r="A448" s="26" t="s">
        <v>965</v>
      </c>
      <c r="B448" t="s">
        <v>21</v>
      </c>
      <c r="C448" t="s">
        <v>408</v>
      </c>
      <c r="D448" t="s">
        <v>172</v>
      </c>
      <c r="E448">
        <v>205179.64071856285</v>
      </c>
      <c r="F448">
        <v>30</v>
      </c>
      <c r="G448" t="s">
        <v>130</v>
      </c>
      <c r="H448">
        <v>1</v>
      </c>
    </row>
    <row r="449" spans="1:8" x14ac:dyDescent="0.25">
      <c r="A449" s="26" t="s">
        <v>966</v>
      </c>
      <c r="B449" t="s">
        <v>21</v>
      </c>
      <c r="C449" t="s">
        <v>408</v>
      </c>
      <c r="D449" t="s">
        <v>172</v>
      </c>
      <c r="E449">
        <v>205179.64071856285</v>
      </c>
      <c r="F449">
        <v>30</v>
      </c>
      <c r="G449" t="s">
        <v>697</v>
      </c>
      <c r="H449">
        <v>1</v>
      </c>
    </row>
    <row r="450" spans="1:8" x14ac:dyDescent="0.25">
      <c r="A450" s="26" t="s">
        <v>967</v>
      </c>
      <c r="B450" t="s">
        <v>21</v>
      </c>
      <c r="C450" t="s">
        <v>408</v>
      </c>
      <c r="D450" t="s">
        <v>172</v>
      </c>
      <c r="E450">
        <v>205179.64071856285</v>
      </c>
      <c r="F450">
        <v>30</v>
      </c>
      <c r="G450" t="s">
        <v>130</v>
      </c>
      <c r="H450">
        <v>2</v>
      </c>
    </row>
    <row r="451" spans="1:8" x14ac:dyDescent="0.25">
      <c r="A451" s="26" t="s">
        <v>968</v>
      </c>
      <c r="B451" t="s">
        <v>21</v>
      </c>
      <c r="C451" t="s">
        <v>408</v>
      </c>
      <c r="D451" t="s">
        <v>172</v>
      </c>
      <c r="E451">
        <v>205179.64071856285</v>
      </c>
      <c r="F451">
        <v>30</v>
      </c>
      <c r="G451" t="s">
        <v>130</v>
      </c>
      <c r="H451">
        <v>1</v>
      </c>
    </row>
    <row r="452" spans="1:8" x14ac:dyDescent="0.25">
      <c r="A452" s="26" t="s">
        <v>969</v>
      </c>
      <c r="B452" t="s">
        <v>21</v>
      </c>
      <c r="C452" t="s">
        <v>408</v>
      </c>
      <c r="D452" t="s">
        <v>172</v>
      </c>
      <c r="E452">
        <v>171410.5613772455</v>
      </c>
      <c r="F452">
        <v>60</v>
      </c>
      <c r="G452" t="s">
        <v>697</v>
      </c>
      <c r="H452">
        <v>1</v>
      </c>
    </row>
    <row r="453" spans="1:8" x14ac:dyDescent="0.25">
      <c r="A453" s="26" t="s">
        <v>970</v>
      </c>
      <c r="B453" t="s">
        <v>21</v>
      </c>
      <c r="C453" t="s">
        <v>408</v>
      </c>
      <c r="D453" t="s">
        <v>172</v>
      </c>
      <c r="E453">
        <v>171410.5613772455</v>
      </c>
      <c r="F453">
        <v>60</v>
      </c>
      <c r="G453" t="s">
        <v>697</v>
      </c>
      <c r="H453">
        <v>1</v>
      </c>
    </row>
    <row r="454" spans="1:8" x14ac:dyDescent="0.25">
      <c r="A454" s="26" t="s">
        <v>971</v>
      </c>
      <c r="B454" t="s">
        <v>21</v>
      </c>
      <c r="C454" t="s">
        <v>408</v>
      </c>
      <c r="D454" t="s">
        <v>172</v>
      </c>
      <c r="E454">
        <v>171410.5613772455</v>
      </c>
      <c r="F454">
        <v>60</v>
      </c>
      <c r="G454" t="s">
        <v>697</v>
      </c>
      <c r="H454">
        <v>1</v>
      </c>
    </row>
    <row r="455" spans="1:8" x14ac:dyDescent="0.25">
      <c r="A455" s="26" t="s">
        <v>972</v>
      </c>
      <c r="B455" t="s">
        <v>21</v>
      </c>
      <c r="C455" t="s">
        <v>408</v>
      </c>
      <c r="D455" t="s">
        <v>172</v>
      </c>
      <c r="E455">
        <v>171410.5613772455</v>
      </c>
      <c r="F455">
        <v>60</v>
      </c>
      <c r="G455" t="s">
        <v>697</v>
      </c>
      <c r="H455">
        <v>1</v>
      </c>
    </row>
    <row r="456" spans="1:8" x14ac:dyDescent="0.25">
      <c r="A456" s="26" t="s">
        <v>973</v>
      </c>
      <c r="B456" t="s">
        <v>21</v>
      </c>
      <c r="C456" t="s">
        <v>408</v>
      </c>
      <c r="D456" t="s">
        <v>172</v>
      </c>
      <c r="E456">
        <v>171410.5613772455</v>
      </c>
      <c r="F456">
        <v>60</v>
      </c>
      <c r="G456" t="s">
        <v>697</v>
      </c>
      <c r="H456">
        <v>1</v>
      </c>
    </row>
    <row r="457" spans="1:8" x14ac:dyDescent="0.25">
      <c r="A457" s="26" t="s">
        <v>974</v>
      </c>
      <c r="B457" t="s">
        <v>21</v>
      </c>
      <c r="C457" t="s">
        <v>408</v>
      </c>
      <c r="D457" t="s">
        <v>172</v>
      </c>
      <c r="E457">
        <v>171410.5613772455</v>
      </c>
      <c r="F457">
        <v>60</v>
      </c>
      <c r="G457" t="s">
        <v>697</v>
      </c>
      <c r="H457">
        <v>1</v>
      </c>
    </row>
    <row r="458" spans="1:8" x14ac:dyDescent="0.25">
      <c r="A458" s="26" t="s">
        <v>975</v>
      </c>
      <c r="B458" t="s">
        <v>21</v>
      </c>
      <c r="C458" t="s">
        <v>408</v>
      </c>
      <c r="D458" t="s">
        <v>172</v>
      </c>
      <c r="E458">
        <v>171410.5613772455</v>
      </c>
      <c r="F458">
        <v>60</v>
      </c>
      <c r="G458" t="s">
        <v>130</v>
      </c>
      <c r="H458">
        <v>1</v>
      </c>
    </row>
    <row r="459" spans="1:8" x14ac:dyDescent="0.25">
      <c r="A459" s="26" t="s">
        <v>976</v>
      </c>
      <c r="B459" t="s">
        <v>21</v>
      </c>
      <c r="C459" t="s">
        <v>408</v>
      </c>
      <c r="D459" t="s">
        <v>172</v>
      </c>
      <c r="E459">
        <v>171410.5613772455</v>
      </c>
      <c r="F459">
        <v>60</v>
      </c>
      <c r="G459" t="s">
        <v>698</v>
      </c>
      <c r="H459">
        <v>2</v>
      </c>
    </row>
    <row r="460" spans="1:8" x14ac:dyDescent="0.25">
      <c r="A460" s="26" t="s">
        <v>977</v>
      </c>
      <c r="B460" t="s">
        <v>21</v>
      </c>
      <c r="C460" t="s">
        <v>408</v>
      </c>
      <c r="D460" t="s">
        <v>172</v>
      </c>
      <c r="E460">
        <v>171410.5613772455</v>
      </c>
      <c r="F460">
        <v>60</v>
      </c>
      <c r="G460" t="s">
        <v>697</v>
      </c>
      <c r="H460">
        <v>1</v>
      </c>
    </row>
    <row r="461" spans="1:8" x14ac:dyDescent="0.25">
      <c r="A461" s="26" t="s">
        <v>978</v>
      </c>
      <c r="B461" t="s">
        <v>21</v>
      </c>
      <c r="C461" t="s">
        <v>408</v>
      </c>
      <c r="D461" t="s">
        <v>172</v>
      </c>
      <c r="E461">
        <v>171410.5613772455</v>
      </c>
      <c r="F461">
        <v>60</v>
      </c>
      <c r="G461" t="s">
        <v>697</v>
      </c>
      <c r="H461">
        <v>1</v>
      </c>
    </row>
    <row r="462" spans="1:8" x14ac:dyDescent="0.25">
      <c r="A462" s="26" t="s">
        <v>979</v>
      </c>
      <c r="B462" t="s">
        <v>21</v>
      </c>
      <c r="C462" t="s">
        <v>408</v>
      </c>
      <c r="D462" t="s">
        <v>172</v>
      </c>
      <c r="E462">
        <v>171410.5613772455</v>
      </c>
      <c r="F462">
        <v>60</v>
      </c>
      <c r="G462" t="s">
        <v>130</v>
      </c>
      <c r="H462">
        <v>1</v>
      </c>
    </row>
    <row r="463" spans="1:8" x14ac:dyDescent="0.25">
      <c r="A463" s="26" t="s">
        <v>980</v>
      </c>
      <c r="B463" t="s">
        <v>21</v>
      </c>
      <c r="C463" t="s">
        <v>408</v>
      </c>
      <c r="D463" t="s">
        <v>172</v>
      </c>
      <c r="E463">
        <v>171410.5613772455</v>
      </c>
      <c r="F463">
        <v>60</v>
      </c>
      <c r="G463" t="s">
        <v>697</v>
      </c>
      <c r="H463">
        <v>2</v>
      </c>
    </row>
    <row r="464" spans="1:8" x14ac:dyDescent="0.25">
      <c r="A464" s="26" t="s">
        <v>981</v>
      </c>
      <c r="B464" t="s">
        <v>21</v>
      </c>
      <c r="C464" t="s">
        <v>408</v>
      </c>
      <c r="D464" t="s">
        <v>172</v>
      </c>
      <c r="E464">
        <v>171410.5613772455</v>
      </c>
      <c r="F464">
        <v>60</v>
      </c>
      <c r="G464" t="s">
        <v>697</v>
      </c>
      <c r="H464">
        <v>1</v>
      </c>
    </row>
    <row r="465" spans="1:8" x14ac:dyDescent="0.25">
      <c r="A465" s="26" t="s">
        <v>982</v>
      </c>
      <c r="B465" t="s">
        <v>21</v>
      </c>
      <c r="C465" t="s">
        <v>408</v>
      </c>
      <c r="D465" t="s">
        <v>172</v>
      </c>
      <c r="E465">
        <v>171410.5613772455</v>
      </c>
      <c r="F465">
        <v>60</v>
      </c>
      <c r="G465" t="s">
        <v>130</v>
      </c>
      <c r="H465">
        <v>1</v>
      </c>
    </row>
    <row r="466" spans="1:8" x14ac:dyDescent="0.25">
      <c r="A466" s="26" t="s">
        <v>983</v>
      </c>
      <c r="B466" t="s">
        <v>21</v>
      </c>
      <c r="C466" t="s">
        <v>408</v>
      </c>
      <c r="D466" t="s">
        <v>172</v>
      </c>
      <c r="E466">
        <v>171410.5613772455</v>
      </c>
      <c r="F466">
        <v>60</v>
      </c>
      <c r="G466" t="s">
        <v>130</v>
      </c>
      <c r="H466">
        <v>1</v>
      </c>
    </row>
    <row r="467" spans="1:8" x14ac:dyDescent="0.25">
      <c r="A467" s="26" t="s">
        <v>984</v>
      </c>
      <c r="B467" t="s">
        <v>21</v>
      </c>
      <c r="C467" t="s">
        <v>408</v>
      </c>
      <c r="D467" t="s">
        <v>172</v>
      </c>
      <c r="E467">
        <v>171410.5613772455</v>
      </c>
      <c r="F467">
        <v>60</v>
      </c>
      <c r="G467" t="s">
        <v>696</v>
      </c>
      <c r="H467">
        <v>1</v>
      </c>
    </row>
    <row r="468" spans="1:8" x14ac:dyDescent="0.25">
      <c r="A468" s="26" t="s">
        <v>985</v>
      </c>
      <c r="B468" t="s">
        <v>21</v>
      </c>
      <c r="C468" t="s">
        <v>408</v>
      </c>
      <c r="D468" t="s">
        <v>172</v>
      </c>
      <c r="E468">
        <v>171410.5613772455</v>
      </c>
      <c r="F468">
        <v>60</v>
      </c>
      <c r="G468" t="s">
        <v>697</v>
      </c>
      <c r="H468">
        <v>1</v>
      </c>
    </row>
    <row r="469" spans="1:8" x14ac:dyDescent="0.25">
      <c r="A469" s="26" t="s">
        <v>986</v>
      </c>
      <c r="B469" t="s">
        <v>21</v>
      </c>
      <c r="C469" t="s">
        <v>408</v>
      </c>
      <c r="D469" t="s">
        <v>172</v>
      </c>
      <c r="E469">
        <v>171410.5613772455</v>
      </c>
      <c r="F469">
        <v>60</v>
      </c>
      <c r="G469" t="s">
        <v>697</v>
      </c>
      <c r="H469">
        <v>1</v>
      </c>
    </row>
    <row r="470" spans="1:8" x14ac:dyDescent="0.25">
      <c r="A470" s="26" t="s">
        <v>987</v>
      </c>
      <c r="B470" t="s">
        <v>21</v>
      </c>
      <c r="C470" t="s">
        <v>408</v>
      </c>
      <c r="D470" t="s">
        <v>172</v>
      </c>
      <c r="E470">
        <v>171410.5613772455</v>
      </c>
      <c r="F470">
        <v>60</v>
      </c>
      <c r="G470" t="s">
        <v>130</v>
      </c>
      <c r="H470">
        <v>1</v>
      </c>
    </row>
    <row r="471" spans="1:8" x14ac:dyDescent="0.25">
      <c r="A471" s="26" t="s">
        <v>988</v>
      </c>
      <c r="B471" t="s">
        <v>21</v>
      </c>
      <c r="C471" t="s">
        <v>408</v>
      </c>
      <c r="D471" t="s">
        <v>172</v>
      </c>
      <c r="E471">
        <v>171410.5613772455</v>
      </c>
      <c r="F471">
        <v>60</v>
      </c>
      <c r="G471" t="s">
        <v>130</v>
      </c>
      <c r="H471">
        <v>2</v>
      </c>
    </row>
    <row r="472" spans="1:8" x14ac:dyDescent="0.25">
      <c r="A472" s="26" t="s">
        <v>989</v>
      </c>
      <c r="B472" t="s">
        <v>21</v>
      </c>
      <c r="C472" t="s">
        <v>408</v>
      </c>
      <c r="D472" t="s">
        <v>172</v>
      </c>
      <c r="E472">
        <v>171410.5613772455</v>
      </c>
      <c r="F472">
        <v>60</v>
      </c>
      <c r="G472" t="s">
        <v>697</v>
      </c>
      <c r="H472">
        <v>2</v>
      </c>
    </row>
    <row r="473" spans="1:8" x14ac:dyDescent="0.25">
      <c r="A473" s="26" t="s">
        <v>990</v>
      </c>
      <c r="B473" t="s">
        <v>21</v>
      </c>
      <c r="C473" t="s">
        <v>408</v>
      </c>
      <c r="D473" t="s">
        <v>172</v>
      </c>
      <c r="E473">
        <v>171410.5613772455</v>
      </c>
      <c r="F473">
        <v>60</v>
      </c>
      <c r="G473" t="s">
        <v>130</v>
      </c>
      <c r="H473">
        <v>1</v>
      </c>
    </row>
    <row r="474" spans="1:8" x14ac:dyDescent="0.25">
      <c r="A474" s="26" t="s">
        <v>991</v>
      </c>
      <c r="B474" t="s">
        <v>21</v>
      </c>
      <c r="C474" t="s">
        <v>408</v>
      </c>
      <c r="D474" t="s">
        <v>172</v>
      </c>
      <c r="E474">
        <v>171410.5613772455</v>
      </c>
      <c r="F474">
        <v>60</v>
      </c>
      <c r="G474" t="s">
        <v>697</v>
      </c>
      <c r="H474">
        <v>2</v>
      </c>
    </row>
    <row r="475" spans="1:8" x14ac:dyDescent="0.25">
      <c r="A475" s="26" t="s">
        <v>992</v>
      </c>
      <c r="B475" t="s">
        <v>21</v>
      </c>
      <c r="C475" t="s">
        <v>408</v>
      </c>
      <c r="D475" t="s">
        <v>172</v>
      </c>
      <c r="E475">
        <v>171410.5613772455</v>
      </c>
      <c r="F475">
        <v>60</v>
      </c>
      <c r="G475" t="s">
        <v>697</v>
      </c>
      <c r="H475">
        <v>1</v>
      </c>
    </row>
    <row r="476" spans="1:8" x14ac:dyDescent="0.25">
      <c r="A476" s="26" t="s">
        <v>993</v>
      </c>
      <c r="B476" t="s">
        <v>21</v>
      </c>
      <c r="C476" t="s">
        <v>408</v>
      </c>
      <c r="D476" t="s">
        <v>172</v>
      </c>
      <c r="E476">
        <v>171410.5613772455</v>
      </c>
      <c r="F476">
        <v>60</v>
      </c>
      <c r="G476" t="s">
        <v>697</v>
      </c>
      <c r="H476">
        <v>1</v>
      </c>
    </row>
    <row r="477" spans="1:8" x14ac:dyDescent="0.25">
      <c r="A477" s="26" t="s">
        <v>994</v>
      </c>
      <c r="B477" t="s">
        <v>21</v>
      </c>
      <c r="C477" t="s">
        <v>408</v>
      </c>
      <c r="D477" t="s">
        <v>172</v>
      </c>
      <c r="E477">
        <v>171410.5613772455</v>
      </c>
      <c r="F477">
        <v>60</v>
      </c>
      <c r="G477" t="s">
        <v>697</v>
      </c>
      <c r="H477">
        <v>1</v>
      </c>
    </row>
    <row r="478" spans="1:8" x14ac:dyDescent="0.25">
      <c r="A478" s="26" t="s">
        <v>995</v>
      </c>
      <c r="B478" t="s">
        <v>21</v>
      </c>
      <c r="C478" t="s">
        <v>408</v>
      </c>
      <c r="D478" t="s">
        <v>172</v>
      </c>
      <c r="E478">
        <v>171410.5613772455</v>
      </c>
      <c r="F478">
        <v>60</v>
      </c>
      <c r="G478" t="s">
        <v>697</v>
      </c>
      <c r="H478">
        <v>1</v>
      </c>
    </row>
    <row r="479" spans="1:8" x14ac:dyDescent="0.25">
      <c r="A479" s="26" t="s">
        <v>996</v>
      </c>
      <c r="B479" t="s">
        <v>21</v>
      </c>
      <c r="C479" t="s">
        <v>408</v>
      </c>
      <c r="D479" t="s">
        <v>172</v>
      </c>
      <c r="E479">
        <v>171410.5613772455</v>
      </c>
      <c r="F479">
        <v>60</v>
      </c>
      <c r="G479" t="s">
        <v>130</v>
      </c>
      <c r="H479">
        <v>1</v>
      </c>
    </row>
    <row r="480" spans="1:8" x14ac:dyDescent="0.25">
      <c r="A480" s="26" t="s">
        <v>997</v>
      </c>
      <c r="B480" t="s">
        <v>21</v>
      </c>
      <c r="C480" t="s">
        <v>408</v>
      </c>
      <c r="D480" t="s">
        <v>172</v>
      </c>
      <c r="E480">
        <v>171410.5613772455</v>
      </c>
      <c r="F480">
        <v>60</v>
      </c>
      <c r="G480" t="s">
        <v>130</v>
      </c>
      <c r="H480">
        <v>1</v>
      </c>
    </row>
    <row r="481" spans="1:8" x14ac:dyDescent="0.25">
      <c r="A481" s="26" t="s">
        <v>998</v>
      </c>
      <c r="B481" t="s">
        <v>21</v>
      </c>
      <c r="C481" t="s">
        <v>408</v>
      </c>
      <c r="D481" t="s">
        <v>172</v>
      </c>
      <c r="E481">
        <v>171410.5613772455</v>
      </c>
      <c r="F481">
        <v>60</v>
      </c>
      <c r="G481" t="s">
        <v>130</v>
      </c>
      <c r="H481">
        <v>1</v>
      </c>
    </row>
    <row r="482" spans="1:8" x14ac:dyDescent="0.25">
      <c r="A482" s="26" t="s">
        <v>999</v>
      </c>
      <c r="B482" t="s">
        <v>21</v>
      </c>
      <c r="C482" t="s">
        <v>408</v>
      </c>
      <c r="D482" t="s">
        <v>172</v>
      </c>
      <c r="E482">
        <v>153956.27544910181</v>
      </c>
      <c r="F482">
        <v>60</v>
      </c>
      <c r="G482" t="s">
        <v>696</v>
      </c>
      <c r="H482">
        <v>1</v>
      </c>
    </row>
    <row r="483" spans="1:8" x14ac:dyDescent="0.25">
      <c r="A483" s="26" t="s">
        <v>1000</v>
      </c>
      <c r="B483" t="s">
        <v>21</v>
      </c>
      <c r="C483" t="s">
        <v>408</v>
      </c>
      <c r="D483" t="s">
        <v>172</v>
      </c>
      <c r="E483">
        <v>153956.27544910181</v>
      </c>
      <c r="F483">
        <v>60</v>
      </c>
      <c r="G483" t="s">
        <v>696</v>
      </c>
      <c r="H483">
        <v>1</v>
      </c>
    </row>
    <row r="484" spans="1:8" x14ac:dyDescent="0.25">
      <c r="A484" s="26" t="s">
        <v>1001</v>
      </c>
      <c r="B484" t="s">
        <v>21</v>
      </c>
      <c r="C484" t="s">
        <v>408</v>
      </c>
      <c r="D484" t="s">
        <v>172</v>
      </c>
      <c r="E484">
        <v>153956.27544910181</v>
      </c>
      <c r="F484">
        <v>60</v>
      </c>
      <c r="G484" t="s">
        <v>696</v>
      </c>
      <c r="H484">
        <v>2</v>
      </c>
    </row>
    <row r="485" spans="1:8" x14ac:dyDescent="0.25">
      <c r="A485" s="26" t="s">
        <v>1002</v>
      </c>
      <c r="B485" t="s">
        <v>21</v>
      </c>
      <c r="C485" t="s">
        <v>408</v>
      </c>
      <c r="D485" t="s">
        <v>172</v>
      </c>
      <c r="E485">
        <v>153956.27544910181</v>
      </c>
      <c r="F485">
        <v>60</v>
      </c>
      <c r="G485" t="s">
        <v>696</v>
      </c>
      <c r="H485">
        <v>1</v>
      </c>
    </row>
    <row r="486" spans="1:8" x14ac:dyDescent="0.25">
      <c r="A486" s="26" t="s">
        <v>1003</v>
      </c>
      <c r="B486" t="s">
        <v>21</v>
      </c>
      <c r="C486" t="s">
        <v>408</v>
      </c>
      <c r="D486" t="s">
        <v>172</v>
      </c>
      <c r="E486">
        <v>153956.27544910181</v>
      </c>
      <c r="F486">
        <v>60</v>
      </c>
      <c r="G486" t="s">
        <v>697</v>
      </c>
      <c r="H486">
        <v>2</v>
      </c>
    </row>
    <row r="487" spans="1:8" x14ac:dyDescent="0.25">
      <c r="A487" s="26" t="s">
        <v>1004</v>
      </c>
      <c r="B487" t="s">
        <v>21</v>
      </c>
      <c r="C487" t="s">
        <v>408</v>
      </c>
      <c r="D487" t="s">
        <v>172</v>
      </c>
      <c r="E487">
        <v>153956.27544910181</v>
      </c>
      <c r="F487">
        <v>60</v>
      </c>
      <c r="G487" t="s">
        <v>697</v>
      </c>
      <c r="H487">
        <v>1</v>
      </c>
    </row>
    <row r="488" spans="1:8" x14ac:dyDescent="0.25">
      <c r="A488" s="26" t="s">
        <v>1005</v>
      </c>
      <c r="B488" t="s">
        <v>21</v>
      </c>
      <c r="C488" t="s">
        <v>408</v>
      </c>
      <c r="D488" t="s">
        <v>172</v>
      </c>
      <c r="E488">
        <v>153956.27544910181</v>
      </c>
      <c r="F488">
        <v>60</v>
      </c>
      <c r="G488" t="s">
        <v>696</v>
      </c>
      <c r="H488">
        <v>1</v>
      </c>
    </row>
    <row r="489" spans="1:8" x14ac:dyDescent="0.25">
      <c r="A489" s="26" t="s">
        <v>1006</v>
      </c>
      <c r="B489" t="s">
        <v>21</v>
      </c>
      <c r="C489" t="s">
        <v>408</v>
      </c>
      <c r="D489" t="s">
        <v>172</v>
      </c>
      <c r="E489">
        <v>153956.27544910181</v>
      </c>
      <c r="F489">
        <v>60</v>
      </c>
      <c r="G489" t="s">
        <v>697</v>
      </c>
      <c r="H489">
        <v>1</v>
      </c>
    </row>
    <row r="490" spans="1:8" x14ac:dyDescent="0.25">
      <c r="A490" s="26" t="s">
        <v>1007</v>
      </c>
      <c r="B490" t="s">
        <v>21</v>
      </c>
      <c r="C490" t="s">
        <v>408</v>
      </c>
      <c r="D490" t="s">
        <v>172</v>
      </c>
      <c r="E490">
        <v>153956.27544910181</v>
      </c>
      <c r="F490">
        <v>60</v>
      </c>
      <c r="G490" t="s">
        <v>696</v>
      </c>
      <c r="H490">
        <v>1</v>
      </c>
    </row>
    <row r="491" spans="1:8" x14ac:dyDescent="0.25">
      <c r="A491" s="26" t="s">
        <v>1008</v>
      </c>
      <c r="B491" t="s">
        <v>21</v>
      </c>
      <c r="C491" t="s">
        <v>408</v>
      </c>
      <c r="D491" t="s">
        <v>172</v>
      </c>
      <c r="E491">
        <v>153956.27544910181</v>
      </c>
      <c r="F491">
        <v>60</v>
      </c>
      <c r="G491" t="s">
        <v>130</v>
      </c>
      <c r="H491">
        <v>1</v>
      </c>
    </row>
    <row r="492" spans="1:8" x14ac:dyDescent="0.25">
      <c r="A492" s="26" t="s">
        <v>1009</v>
      </c>
      <c r="B492" t="s">
        <v>21</v>
      </c>
      <c r="C492" t="s">
        <v>408</v>
      </c>
      <c r="D492" t="s">
        <v>172</v>
      </c>
      <c r="E492">
        <v>153956.27544910181</v>
      </c>
      <c r="F492">
        <v>60</v>
      </c>
      <c r="G492" t="s">
        <v>697</v>
      </c>
      <c r="H492">
        <v>1</v>
      </c>
    </row>
    <row r="493" spans="1:8" x14ac:dyDescent="0.25">
      <c r="A493" s="26" t="s">
        <v>1010</v>
      </c>
      <c r="B493" t="s">
        <v>21</v>
      </c>
      <c r="C493" t="s">
        <v>408</v>
      </c>
      <c r="D493" t="s">
        <v>172</v>
      </c>
      <c r="E493">
        <v>153956.27544910181</v>
      </c>
      <c r="F493">
        <v>60</v>
      </c>
      <c r="G493" t="s">
        <v>130</v>
      </c>
      <c r="H493">
        <v>1</v>
      </c>
    </row>
    <row r="494" spans="1:8" x14ac:dyDescent="0.25">
      <c r="A494" s="26" t="s">
        <v>1011</v>
      </c>
      <c r="B494" t="s">
        <v>21</v>
      </c>
      <c r="C494" t="s">
        <v>408</v>
      </c>
      <c r="D494" t="s">
        <v>172</v>
      </c>
      <c r="E494">
        <v>153956.27544910181</v>
      </c>
      <c r="F494">
        <v>60</v>
      </c>
      <c r="G494" t="s">
        <v>696</v>
      </c>
      <c r="H494">
        <v>2</v>
      </c>
    </row>
    <row r="495" spans="1:8" x14ac:dyDescent="0.25">
      <c r="A495" s="26" t="s">
        <v>1012</v>
      </c>
      <c r="B495" t="s">
        <v>21</v>
      </c>
      <c r="C495" t="s">
        <v>408</v>
      </c>
      <c r="D495" t="s">
        <v>172</v>
      </c>
      <c r="E495">
        <v>153956.27544910181</v>
      </c>
      <c r="F495">
        <v>60</v>
      </c>
      <c r="G495" t="s">
        <v>696</v>
      </c>
      <c r="H495">
        <v>1</v>
      </c>
    </row>
    <row r="496" spans="1:8" x14ac:dyDescent="0.25">
      <c r="A496" s="26" t="s">
        <v>1013</v>
      </c>
      <c r="B496" t="s">
        <v>21</v>
      </c>
      <c r="C496" t="s">
        <v>408</v>
      </c>
      <c r="D496" t="s">
        <v>172</v>
      </c>
      <c r="E496">
        <v>153956.27544910181</v>
      </c>
      <c r="F496">
        <v>60</v>
      </c>
      <c r="G496" t="s">
        <v>697</v>
      </c>
      <c r="H496">
        <v>1</v>
      </c>
    </row>
    <row r="497" spans="1:8" x14ac:dyDescent="0.25">
      <c r="A497" s="26" t="s">
        <v>1014</v>
      </c>
      <c r="B497" t="s">
        <v>21</v>
      </c>
      <c r="C497" t="s">
        <v>408</v>
      </c>
      <c r="D497" t="s">
        <v>172</v>
      </c>
      <c r="E497">
        <v>153956.27544910181</v>
      </c>
      <c r="F497">
        <v>60</v>
      </c>
      <c r="G497" t="s">
        <v>697</v>
      </c>
      <c r="H497">
        <v>2</v>
      </c>
    </row>
    <row r="498" spans="1:8" x14ac:dyDescent="0.25">
      <c r="A498" s="26" t="s">
        <v>1015</v>
      </c>
      <c r="B498" t="s">
        <v>21</v>
      </c>
      <c r="C498" t="s">
        <v>408</v>
      </c>
      <c r="D498" t="s">
        <v>172</v>
      </c>
      <c r="E498">
        <v>153956.27544910181</v>
      </c>
      <c r="F498">
        <v>60</v>
      </c>
      <c r="G498" t="s">
        <v>130</v>
      </c>
      <c r="H498">
        <v>1</v>
      </c>
    </row>
    <row r="499" spans="1:8" x14ac:dyDescent="0.25">
      <c r="A499" s="26" t="s">
        <v>1016</v>
      </c>
      <c r="B499" t="s">
        <v>21</v>
      </c>
      <c r="C499" t="s">
        <v>408</v>
      </c>
      <c r="D499" t="s">
        <v>172</v>
      </c>
      <c r="E499">
        <v>153956.27544910181</v>
      </c>
      <c r="F499">
        <v>60</v>
      </c>
      <c r="G499" t="s">
        <v>697</v>
      </c>
      <c r="H499">
        <v>1</v>
      </c>
    </row>
    <row r="500" spans="1:8" x14ac:dyDescent="0.25">
      <c r="A500" s="26" t="s">
        <v>1017</v>
      </c>
      <c r="B500" t="s">
        <v>21</v>
      </c>
      <c r="C500" t="s">
        <v>408</v>
      </c>
      <c r="D500" t="s">
        <v>172</v>
      </c>
      <c r="E500">
        <v>153956.27544910181</v>
      </c>
      <c r="F500">
        <v>60</v>
      </c>
      <c r="G500" t="s">
        <v>696</v>
      </c>
      <c r="H500">
        <v>1</v>
      </c>
    </row>
    <row r="501" spans="1:8" x14ac:dyDescent="0.25">
      <c r="A501" s="26" t="s">
        <v>1018</v>
      </c>
      <c r="B501" t="s">
        <v>21</v>
      </c>
      <c r="C501" t="s">
        <v>408</v>
      </c>
      <c r="D501" t="s">
        <v>172</v>
      </c>
      <c r="E501">
        <v>153956.27544910181</v>
      </c>
      <c r="F501">
        <v>60</v>
      </c>
      <c r="G501" t="s">
        <v>697</v>
      </c>
      <c r="H501">
        <v>2</v>
      </c>
    </row>
    <row r="502" spans="1:8" x14ac:dyDescent="0.25">
      <c r="A502" s="26" t="s">
        <v>1019</v>
      </c>
      <c r="B502" t="s">
        <v>21</v>
      </c>
      <c r="C502" t="s">
        <v>408</v>
      </c>
      <c r="D502" t="s">
        <v>172</v>
      </c>
      <c r="E502">
        <v>153956.27544910181</v>
      </c>
      <c r="F502">
        <v>60</v>
      </c>
      <c r="G502" t="s">
        <v>130</v>
      </c>
      <c r="H502">
        <v>1</v>
      </c>
    </row>
    <row r="503" spans="1:8" x14ac:dyDescent="0.25">
      <c r="A503" s="26" t="s">
        <v>1020</v>
      </c>
      <c r="B503" t="s">
        <v>21</v>
      </c>
      <c r="C503" t="s">
        <v>408</v>
      </c>
      <c r="D503" t="s">
        <v>172</v>
      </c>
      <c r="E503">
        <v>153956.27544910181</v>
      </c>
      <c r="F503">
        <v>60</v>
      </c>
      <c r="G503" t="s">
        <v>697</v>
      </c>
      <c r="H503">
        <v>3</v>
      </c>
    </row>
    <row r="504" spans="1:8" x14ac:dyDescent="0.25">
      <c r="A504" s="26" t="s">
        <v>1021</v>
      </c>
      <c r="B504" t="s">
        <v>21</v>
      </c>
      <c r="C504" t="s">
        <v>408</v>
      </c>
      <c r="D504" t="s">
        <v>172</v>
      </c>
      <c r="E504">
        <v>153956.27544910181</v>
      </c>
      <c r="F504">
        <v>60</v>
      </c>
      <c r="G504" t="s">
        <v>696</v>
      </c>
      <c r="H504">
        <v>1</v>
      </c>
    </row>
    <row r="505" spans="1:8" x14ac:dyDescent="0.25">
      <c r="A505" s="26" t="s">
        <v>1022</v>
      </c>
      <c r="B505" t="s">
        <v>21</v>
      </c>
      <c r="C505" t="s">
        <v>408</v>
      </c>
      <c r="D505" t="s">
        <v>172</v>
      </c>
      <c r="E505">
        <v>153956.27544910181</v>
      </c>
      <c r="F505">
        <v>60</v>
      </c>
      <c r="G505" t="s">
        <v>697</v>
      </c>
      <c r="H505">
        <v>1</v>
      </c>
    </row>
    <row r="506" spans="1:8" x14ac:dyDescent="0.25">
      <c r="A506" s="26" t="s">
        <v>1023</v>
      </c>
      <c r="B506" t="s">
        <v>21</v>
      </c>
      <c r="C506" t="s">
        <v>408</v>
      </c>
      <c r="D506" t="s">
        <v>172</v>
      </c>
      <c r="E506">
        <v>153956.27544910181</v>
      </c>
      <c r="F506">
        <v>60</v>
      </c>
      <c r="G506" t="s">
        <v>697</v>
      </c>
      <c r="H506">
        <v>1</v>
      </c>
    </row>
    <row r="507" spans="1:8" x14ac:dyDescent="0.25">
      <c r="A507" s="26" t="s">
        <v>1024</v>
      </c>
      <c r="B507" t="s">
        <v>21</v>
      </c>
      <c r="C507" t="s">
        <v>408</v>
      </c>
      <c r="D507" t="s">
        <v>172</v>
      </c>
      <c r="E507">
        <v>153956.27544910181</v>
      </c>
      <c r="F507">
        <v>60</v>
      </c>
      <c r="G507" t="s">
        <v>697</v>
      </c>
      <c r="H507">
        <v>1</v>
      </c>
    </row>
    <row r="508" spans="1:8" x14ac:dyDescent="0.25">
      <c r="A508" s="26" t="s">
        <v>1025</v>
      </c>
      <c r="B508" t="s">
        <v>21</v>
      </c>
      <c r="C508" t="s">
        <v>408</v>
      </c>
      <c r="D508" t="s">
        <v>172</v>
      </c>
      <c r="E508">
        <v>153956.27544910181</v>
      </c>
      <c r="F508">
        <v>60</v>
      </c>
      <c r="G508" t="s">
        <v>697</v>
      </c>
      <c r="H508">
        <v>2</v>
      </c>
    </row>
    <row r="509" spans="1:8" x14ac:dyDescent="0.25">
      <c r="A509" s="26" t="s">
        <v>1026</v>
      </c>
      <c r="B509" t="s">
        <v>21</v>
      </c>
      <c r="C509" t="s">
        <v>408</v>
      </c>
      <c r="D509" t="s">
        <v>172</v>
      </c>
      <c r="E509">
        <v>153956.27544910181</v>
      </c>
      <c r="F509">
        <v>60</v>
      </c>
      <c r="G509" t="s">
        <v>130</v>
      </c>
      <c r="H509">
        <v>1</v>
      </c>
    </row>
    <row r="510" spans="1:8" x14ac:dyDescent="0.25">
      <c r="A510" s="26" t="s">
        <v>1027</v>
      </c>
      <c r="B510" t="s">
        <v>21</v>
      </c>
      <c r="C510" t="s">
        <v>408</v>
      </c>
      <c r="D510" t="s">
        <v>172</v>
      </c>
      <c r="E510">
        <v>153956.27544910181</v>
      </c>
      <c r="F510">
        <v>60</v>
      </c>
      <c r="G510" t="s">
        <v>697</v>
      </c>
      <c r="H510">
        <v>1</v>
      </c>
    </row>
    <row r="511" spans="1:8" x14ac:dyDescent="0.25">
      <c r="A511" s="26" t="s">
        <v>1028</v>
      </c>
      <c r="B511" t="s">
        <v>21</v>
      </c>
      <c r="C511" t="s">
        <v>408</v>
      </c>
      <c r="D511" t="s">
        <v>172</v>
      </c>
      <c r="E511">
        <v>153956.27544910181</v>
      </c>
      <c r="F511">
        <v>60</v>
      </c>
      <c r="G511" t="s">
        <v>696</v>
      </c>
      <c r="H511">
        <v>1</v>
      </c>
    </row>
    <row r="512" spans="1:8" x14ac:dyDescent="0.25">
      <c r="A512" s="26" t="s">
        <v>1029</v>
      </c>
      <c r="B512" t="s">
        <v>21</v>
      </c>
      <c r="C512" t="s">
        <v>408</v>
      </c>
      <c r="D512" t="s">
        <v>172</v>
      </c>
      <c r="E512">
        <v>168240.66167664671</v>
      </c>
      <c r="F512">
        <v>60</v>
      </c>
      <c r="G512" t="s">
        <v>696</v>
      </c>
      <c r="H512">
        <v>1</v>
      </c>
    </row>
    <row r="513" spans="1:8" x14ac:dyDescent="0.25">
      <c r="A513" s="26" t="s">
        <v>1030</v>
      </c>
      <c r="B513" t="s">
        <v>21</v>
      </c>
      <c r="C513" t="s">
        <v>408</v>
      </c>
      <c r="D513" t="s">
        <v>172</v>
      </c>
      <c r="E513">
        <v>168240.66167664671</v>
      </c>
      <c r="F513">
        <v>60</v>
      </c>
      <c r="G513" t="s">
        <v>696</v>
      </c>
      <c r="H513">
        <v>1</v>
      </c>
    </row>
    <row r="514" spans="1:8" x14ac:dyDescent="0.25">
      <c r="A514" s="26" t="s">
        <v>1031</v>
      </c>
      <c r="B514" t="s">
        <v>21</v>
      </c>
      <c r="C514" t="s">
        <v>408</v>
      </c>
      <c r="D514" t="s">
        <v>172</v>
      </c>
      <c r="E514">
        <v>168240.66167664671</v>
      </c>
      <c r="F514">
        <v>60</v>
      </c>
      <c r="G514" t="s">
        <v>697</v>
      </c>
      <c r="H514">
        <v>1</v>
      </c>
    </row>
    <row r="515" spans="1:8" x14ac:dyDescent="0.25">
      <c r="A515" s="26" t="s">
        <v>1032</v>
      </c>
      <c r="B515" t="s">
        <v>21</v>
      </c>
      <c r="C515" t="s">
        <v>408</v>
      </c>
      <c r="D515" t="s">
        <v>172</v>
      </c>
      <c r="E515">
        <v>168240.66167664671</v>
      </c>
      <c r="F515">
        <v>60</v>
      </c>
      <c r="G515" t="s">
        <v>697</v>
      </c>
      <c r="H515">
        <v>3</v>
      </c>
    </row>
    <row r="516" spans="1:8" x14ac:dyDescent="0.25">
      <c r="A516" s="26" t="s">
        <v>1033</v>
      </c>
      <c r="B516" t="s">
        <v>21</v>
      </c>
      <c r="C516" t="s">
        <v>408</v>
      </c>
      <c r="D516" t="s">
        <v>172</v>
      </c>
      <c r="E516">
        <v>168240.66167664671</v>
      </c>
      <c r="F516">
        <v>60</v>
      </c>
      <c r="G516" t="s">
        <v>697</v>
      </c>
      <c r="H516">
        <v>1</v>
      </c>
    </row>
    <row r="517" spans="1:8" x14ac:dyDescent="0.25">
      <c r="A517" s="26" t="s">
        <v>1034</v>
      </c>
      <c r="B517" t="s">
        <v>21</v>
      </c>
      <c r="C517" t="s">
        <v>408</v>
      </c>
      <c r="D517" t="s">
        <v>172</v>
      </c>
      <c r="E517">
        <v>168240.66167664671</v>
      </c>
      <c r="F517">
        <v>60</v>
      </c>
      <c r="G517" t="s">
        <v>130</v>
      </c>
      <c r="H517">
        <v>1</v>
      </c>
    </row>
    <row r="518" spans="1:8" x14ac:dyDescent="0.25">
      <c r="A518" s="26" t="s">
        <v>1035</v>
      </c>
      <c r="B518" t="s">
        <v>21</v>
      </c>
      <c r="C518" t="s">
        <v>408</v>
      </c>
      <c r="D518" t="s">
        <v>172</v>
      </c>
      <c r="E518">
        <v>168240.66167664671</v>
      </c>
      <c r="F518">
        <v>60</v>
      </c>
      <c r="G518" t="s">
        <v>697</v>
      </c>
      <c r="H518">
        <v>1</v>
      </c>
    </row>
    <row r="519" spans="1:8" x14ac:dyDescent="0.25">
      <c r="A519" s="26" t="s">
        <v>1036</v>
      </c>
      <c r="B519" t="s">
        <v>21</v>
      </c>
      <c r="C519" t="s">
        <v>408</v>
      </c>
      <c r="D519" t="s">
        <v>172</v>
      </c>
      <c r="E519">
        <v>168240.66167664671</v>
      </c>
      <c r="F519">
        <v>60</v>
      </c>
      <c r="G519" t="s">
        <v>697</v>
      </c>
      <c r="H519">
        <v>1</v>
      </c>
    </row>
    <row r="520" spans="1:8" x14ac:dyDescent="0.25">
      <c r="A520" s="26" t="s">
        <v>1037</v>
      </c>
      <c r="B520" t="s">
        <v>21</v>
      </c>
      <c r="C520" t="s">
        <v>408</v>
      </c>
      <c r="D520" t="s">
        <v>172</v>
      </c>
      <c r="E520">
        <v>168240.66167664671</v>
      </c>
      <c r="F520">
        <v>60</v>
      </c>
      <c r="G520" t="s">
        <v>696</v>
      </c>
      <c r="H520">
        <v>1</v>
      </c>
    </row>
    <row r="521" spans="1:8" x14ac:dyDescent="0.25">
      <c r="A521" s="26" t="s">
        <v>1038</v>
      </c>
      <c r="B521" t="s">
        <v>21</v>
      </c>
      <c r="C521" t="s">
        <v>408</v>
      </c>
      <c r="D521" t="s">
        <v>172</v>
      </c>
      <c r="E521">
        <v>168240.66167664671</v>
      </c>
      <c r="F521">
        <v>60</v>
      </c>
      <c r="G521" t="s">
        <v>697</v>
      </c>
      <c r="H521">
        <v>1</v>
      </c>
    </row>
    <row r="522" spans="1:8" x14ac:dyDescent="0.25">
      <c r="A522" s="26" t="s">
        <v>1039</v>
      </c>
      <c r="B522" t="s">
        <v>21</v>
      </c>
      <c r="C522" t="s">
        <v>408</v>
      </c>
      <c r="D522" t="s">
        <v>172</v>
      </c>
      <c r="E522">
        <v>168240.66167664671</v>
      </c>
      <c r="F522">
        <v>60</v>
      </c>
      <c r="G522" t="s">
        <v>697</v>
      </c>
      <c r="H522">
        <v>1</v>
      </c>
    </row>
    <row r="523" spans="1:8" x14ac:dyDescent="0.25">
      <c r="A523" s="26" t="s">
        <v>1040</v>
      </c>
      <c r="B523" t="s">
        <v>21</v>
      </c>
      <c r="C523" t="s">
        <v>408</v>
      </c>
      <c r="D523" t="s">
        <v>172</v>
      </c>
      <c r="E523">
        <v>168240.66167664671</v>
      </c>
      <c r="F523">
        <v>60</v>
      </c>
      <c r="G523" t="s">
        <v>697</v>
      </c>
      <c r="H523">
        <v>2</v>
      </c>
    </row>
    <row r="524" spans="1:8" x14ac:dyDescent="0.25">
      <c r="A524" s="26" t="s">
        <v>1041</v>
      </c>
      <c r="B524" t="s">
        <v>21</v>
      </c>
      <c r="C524" t="s">
        <v>408</v>
      </c>
      <c r="D524" t="s">
        <v>172</v>
      </c>
      <c r="E524">
        <v>168240.66167664671</v>
      </c>
      <c r="F524">
        <v>60</v>
      </c>
      <c r="G524" t="s">
        <v>697</v>
      </c>
      <c r="H524">
        <v>1</v>
      </c>
    </row>
    <row r="525" spans="1:8" x14ac:dyDescent="0.25">
      <c r="A525" s="26" t="s">
        <v>1042</v>
      </c>
      <c r="B525" t="s">
        <v>21</v>
      </c>
      <c r="C525" t="s">
        <v>408</v>
      </c>
      <c r="D525" t="s">
        <v>172</v>
      </c>
      <c r="E525">
        <v>168240.66167664671</v>
      </c>
      <c r="F525">
        <v>60</v>
      </c>
      <c r="G525" t="s">
        <v>696</v>
      </c>
      <c r="H525">
        <v>1</v>
      </c>
    </row>
    <row r="526" spans="1:8" x14ac:dyDescent="0.25">
      <c r="A526" s="26" t="s">
        <v>1043</v>
      </c>
      <c r="B526" t="s">
        <v>21</v>
      </c>
      <c r="C526" t="s">
        <v>408</v>
      </c>
      <c r="D526" t="s">
        <v>172</v>
      </c>
      <c r="E526">
        <v>168240.66167664671</v>
      </c>
      <c r="F526">
        <v>60</v>
      </c>
      <c r="G526" t="s">
        <v>696</v>
      </c>
      <c r="H526">
        <v>1</v>
      </c>
    </row>
    <row r="527" spans="1:8" x14ac:dyDescent="0.25">
      <c r="A527" s="26" t="s">
        <v>1044</v>
      </c>
      <c r="B527" t="s">
        <v>21</v>
      </c>
      <c r="C527" t="s">
        <v>408</v>
      </c>
      <c r="D527" t="s">
        <v>172</v>
      </c>
      <c r="E527">
        <v>168240.66167664671</v>
      </c>
      <c r="F527">
        <v>60</v>
      </c>
      <c r="G527" t="s">
        <v>697</v>
      </c>
      <c r="H527">
        <v>1</v>
      </c>
    </row>
    <row r="528" spans="1:8" x14ac:dyDescent="0.25">
      <c r="A528" s="26" t="s">
        <v>1045</v>
      </c>
      <c r="B528" t="s">
        <v>21</v>
      </c>
      <c r="C528" t="s">
        <v>408</v>
      </c>
      <c r="D528" t="s">
        <v>172</v>
      </c>
      <c r="E528">
        <v>168240.66167664671</v>
      </c>
      <c r="F528">
        <v>60</v>
      </c>
      <c r="G528" t="s">
        <v>696</v>
      </c>
      <c r="H528">
        <v>1</v>
      </c>
    </row>
    <row r="529" spans="1:8" x14ac:dyDescent="0.25">
      <c r="A529" s="26" t="s">
        <v>1046</v>
      </c>
      <c r="B529" t="s">
        <v>21</v>
      </c>
      <c r="C529" t="s">
        <v>408</v>
      </c>
      <c r="D529" t="s">
        <v>172</v>
      </c>
      <c r="E529">
        <v>168240.66167664671</v>
      </c>
      <c r="F529">
        <v>60</v>
      </c>
      <c r="G529" t="s">
        <v>697</v>
      </c>
      <c r="H529">
        <v>2</v>
      </c>
    </row>
    <row r="530" spans="1:8" x14ac:dyDescent="0.25">
      <c r="A530" s="26" t="s">
        <v>1047</v>
      </c>
      <c r="B530" t="s">
        <v>21</v>
      </c>
      <c r="C530" t="s">
        <v>408</v>
      </c>
      <c r="D530" t="s">
        <v>172</v>
      </c>
      <c r="E530">
        <v>168240.66167664671</v>
      </c>
      <c r="F530">
        <v>60</v>
      </c>
      <c r="G530" t="s">
        <v>696</v>
      </c>
      <c r="H530">
        <v>2</v>
      </c>
    </row>
    <row r="531" spans="1:8" x14ac:dyDescent="0.25">
      <c r="A531" s="26" t="s">
        <v>1048</v>
      </c>
      <c r="B531" t="s">
        <v>21</v>
      </c>
      <c r="C531" t="s">
        <v>408</v>
      </c>
      <c r="D531" t="s">
        <v>172</v>
      </c>
      <c r="E531">
        <v>168240.66167664671</v>
      </c>
      <c r="F531">
        <v>60</v>
      </c>
      <c r="G531" t="s">
        <v>696</v>
      </c>
      <c r="H531">
        <v>2</v>
      </c>
    </row>
    <row r="532" spans="1:8" x14ac:dyDescent="0.25">
      <c r="A532" s="26" t="s">
        <v>1049</v>
      </c>
      <c r="B532" t="s">
        <v>21</v>
      </c>
      <c r="C532" t="s">
        <v>408</v>
      </c>
      <c r="D532" t="s">
        <v>172</v>
      </c>
      <c r="E532">
        <v>168240.66167664671</v>
      </c>
      <c r="F532">
        <v>60</v>
      </c>
      <c r="G532" t="s">
        <v>696</v>
      </c>
      <c r="H532">
        <v>1</v>
      </c>
    </row>
    <row r="533" spans="1:8" x14ac:dyDescent="0.25">
      <c r="A533" s="26" t="s">
        <v>1050</v>
      </c>
      <c r="B533" t="s">
        <v>21</v>
      </c>
      <c r="C533" t="s">
        <v>408</v>
      </c>
      <c r="D533" t="s">
        <v>172</v>
      </c>
      <c r="E533">
        <v>168240.66167664671</v>
      </c>
      <c r="F533">
        <v>60</v>
      </c>
      <c r="G533" t="s">
        <v>696</v>
      </c>
      <c r="H533">
        <v>1</v>
      </c>
    </row>
    <row r="534" spans="1:8" x14ac:dyDescent="0.25">
      <c r="A534" s="26" t="s">
        <v>1051</v>
      </c>
      <c r="B534" t="s">
        <v>21</v>
      </c>
      <c r="C534" t="s">
        <v>408</v>
      </c>
      <c r="D534" t="s">
        <v>172</v>
      </c>
      <c r="E534">
        <v>168240.66167664671</v>
      </c>
      <c r="F534">
        <v>60</v>
      </c>
      <c r="G534" t="s">
        <v>130</v>
      </c>
      <c r="H534">
        <v>1</v>
      </c>
    </row>
    <row r="535" spans="1:8" x14ac:dyDescent="0.25">
      <c r="A535" s="26" t="s">
        <v>1052</v>
      </c>
      <c r="B535" t="s">
        <v>21</v>
      </c>
      <c r="C535" t="s">
        <v>408</v>
      </c>
      <c r="D535" t="s">
        <v>172</v>
      </c>
      <c r="E535">
        <v>168240.66167664671</v>
      </c>
      <c r="F535">
        <v>60</v>
      </c>
      <c r="G535" t="s">
        <v>697</v>
      </c>
      <c r="H535">
        <v>1</v>
      </c>
    </row>
    <row r="536" spans="1:8" x14ac:dyDescent="0.25">
      <c r="A536" s="26" t="s">
        <v>1053</v>
      </c>
      <c r="B536" t="s">
        <v>21</v>
      </c>
      <c r="C536" t="s">
        <v>408</v>
      </c>
      <c r="D536" t="s">
        <v>172</v>
      </c>
      <c r="E536">
        <v>168240.66167664671</v>
      </c>
      <c r="F536">
        <v>60</v>
      </c>
      <c r="G536" t="s">
        <v>697</v>
      </c>
      <c r="H536">
        <v>1</v>
      </c>
    </row>
    <row r="537" spans="1:8" x14ac:dyDescent="0.25">
      <c r="A537" s="26" t="s">
        <v>1054</v>
      </c>
      <c r="B537" t="s">
        <v>21</v>
      </c>
      <c r="C537" t="s">
        <v>408</v>
      </c>
      <c r="D537" t="s">
        <v>172</v>
      </c>
      <c r="E537">
        <v>168240.66167664671</v>
      </c>
      <c r="F537">
        <v>60</v>
      </c>
      <c r="G537" t="s">
        <v>697</v>
      </c>
      <c r="H537">
        <v>2</v>
      </c>
    </row>
    <row r="538" spans="1:8" x14ac:dyDescent="0.25">
      <c r="A538" s="26" t="s">
        <v>1055</v>
      </c>
      <c r="B538" t="s">
        <v>21</v>
      </c>
      <c r="C538" t="s">
        <v>408</v>
      </c>
      <c r="D538" t="s">
        <v>172</v>
      </c>
      <c r="E538">
        <v>168240.66167664671</v>
      </c>
      <c r="F538">
        <v>60</v>
      </c>
      <c r="G538" t="s">
        <v>130</v>
      </c>
      <c r="H538">
        <v>1</v>
      </c>
    </row>
    <row r="539" spans="1:8" x14ac:dyDescent="0.25">
      <c r="A539" s="26" t="s">
        <v>1056</v>
      </c>
      <c r="B539" t="s">
        <v>21</v>
      </c>
      <c r="C539" t="s">
        <v>408</v>
      </c>
      <c r="D539" t="s">
        <v>172</v>
      </c>
      <c r="E539">
        <v>168240.66167664671</v>
      </c>
      <c r="F539">
        <v>60</v>
      </c>
      <c r="G539" t="s">
        <v>130</v>
      </c>
      <c r="H539">
        <v>1</v>
      </c>
    </row>
    <row r="540" spans="1:8" x14ac:dyDescent="0.25">
      <c r="A540" s="26" t="s">
        <v>1057</v>
      </c>
      <c r="B540" t="s">
        <v>21</v>
      </c>
      <c r="C540" t="s">
        <v>408</v>
      </c>
      <c r="D540" t="s">
        <v>172</v>
      </c>
      <c r="E540">
        <v>168240.66167664671</v>
      </c>
      <c r="F540">
        <v>60</v>
      </c>
      <c r="G540" t="s">
        <v>697</v>
      </c>
      <c r="H540">
        <v>1</v>
      </c>
    </row>
    <row r="541" spans="1:8" x14ac:dyDescent="0.25">
      <c r="A541" s="26" t="s">
        <v>1058</v>
      </c>
      <c r="B541" t="s">
        <v>21</v>
      </c>
      <c r="C541" t="s">
        <v>408</v>
      </c>
      <c r="D541" t="s">
        <v>172</v>
      </c>
      <c r="E541">
        <v>168240.66167664671</v>
      </c>
      <c r="F541">
        <v>60</v>
      </c>
      <c r="G541" t="s">
        <v>697</v>
      </c>
      <c r="H541">
        <v>1</v>
      </c>
    </row>
    <row r="542" spans="1:8" x14ac:dyDescent="0.25">
      <c r="A542" s="26" t="s">
        <v>1059</v>
      </c>
      <c r="B542" t="s">
        <v>101</v>
      </c>
      <c r="C542" t="s">
        <v>408</v>
      </c>
      <c r="D542" t="s">
        <v>172</v>
      </c>
      <c r="E542">
        <v>17423.153692614771</v>
      </c>
      <c r="F542">
        <v>30</v>
      </c>
      <c r="G542" t="s">
        <v>130</v>
      </c>
      <c r="H542">
        <v>2</v>
      </c>
    </row>
    <row r="543" spans="1:8" x14ac:dyDescent="0.25">
      <c r="A543" s="26" t="s">
        <v>1060</v>
      </c>
      <c r="B543" t="s">
        <v>101</v>
      </c>
      <c r="C543" t="s">
        <v>408</v>
      </c>
      <c r="D543" t="s">
        <v>172</v>
      </c>
      <c r="E543">
        <v>17423.153692614771</v>
      </c>
      <c r="F543">
        <v>30</v>
      </c>
      <c r="G543" t="s">
        <v>130</v>
      </c>
      <c r="H543">
        <v>1</v>
      </c>
    </row>
    <row r="544" spans="1:8" x14ac:dyDescent="0.25">
      <c r="A544" s="26" t="s">
        <v>1061</v>
      </c>
      <c r="B544" t="s">
        <v>101</v>
      </c>
      <c r="C544" t="s">
        <v>408</v>
      </c>
      <c r="D544" t="s">
        <v>172</v>
      </c>
      <c r="E544">
        <v>17423.153692614771</v>
      </c>
      <c r="F544">
        <v>30</v>
      </c>
      <c r="G544" t="s">
        <v>696</v>
      </c>
      <c r="H544">
        <v>1</v>
      </c>
    </row>
    <row r="545" spans="1:8" x14ac:dyDescent="0.25">
      <c r="A545" s="26" t="s">
        <v>1062</v>
      </c>
      <c r="B545" t="s">
        <v>101</v>
      </c>
      <c r="C545" t="s">
        <v>408</v>
      </c>
      <c r="D545" t="s">
        <v>172</v>
      </c>
      <c r="E545">
        <v>17423.153692614771</v>
      </c>
      <c r="F545">
        <v>30</v>
      </c>
      <c r="G545" t="s">
        <v>696</v>
      </c>
      <c r="H545">
        <v>1</v>
      </c>
    </row>
    <row r="546" spans="1:8" x14ac:dyDescent="0.25">
      <c r="A546" s="26" t="s">
        <v>1063</v>
      </c>
      <c r="B546" t="s">
        <v>101</v>
      </c>
      <c r="C546" t="s">
        <v>408</v>
      </c>
      <c r="D546" t="s">
        <v>172</v>
      </c>
      <c r="E546">
        <v>17423.153692614771</v>
      </c>
      <c r="F546">
        <v>30</v>
      </c>
      <c r="G546" t="s">
        <v>130</v>
      </c>
      <c r="H546">
        <v>1</v>
      </c>
    </row>
    <row r="547" spans="1:8" x14ac:dyDescent="0.25">
      <c r="A547" s="26" t="s">
        <v>1064</v>
      </c>
      <c r="B547" t="s">
        <v>101</v>
      </c>
      <c r="C547" t="s">
        <v>408</v>
      </c>
      <c r="D547" t="s">
        <v>172</v>
      </c>
      <c r="E547">
        <v>17423.153692614771</v>
      </c>
      <c r="F547">
        <v>30</v>
      </c>
      <c r="G547" t="s">
        <v>130</v>
      </c>
      <c r="H547">
        <v>1</v>
      </c>
    </row>
    <row r="548" spans="1:8" x14ac:dyDescent="0.25">
      <c r="A548" s="26" t="s">
        <v>1065</v>
      </c>
      <c r="B548" t="s">
        <v>101</v>
      </c>
      <c r="C548" t="s">
        <v>408</v>
      </c>
      <c r="D548" t="s">
        <v>172</v>
      </c>
      <c r="E548">
        <v>17423.153692614771</v>
      </c>
      <c r="F548">
        <v>30</v>
      </c>
      <c r="G548" t="s">
        <v>130</v>
      </c>
      <c r="H548">
        <v>1</v>
      </c>
    </row>
    <row r="549" spans="1:8" x14ac:dyDescent="0.25">
      <c r="A549" s="26" t="s">
        <v>1066</v>
      </c>
      <c r="B549" t="s">
        <v>101</v>
      </c>
      <c r="C549" t="s">
        <v>408</v>
      </c>
      <c r="D549" t="s">
        <v>172</v>
      </c>
      <c r="E549">
        <v>17423.153692614771</v>
      </c>
      <c r="F549">
        <v>30</v>
      </c>
      <c r="G549" t="s">
        <v>698</v>
      </c>
      <c r="H549">
        <v>3</v>
      </c>
    </row>
    <row r="550" spans="1:8" x14ac:dyDescent="0.25">
      <c r="A550" s="26" t="s">
        <v>1067</v>
      </c>
      <c r="B550" t="s">
        <v>101</v>
      </c>
      <c r="C550" t="s">
        <v>408</v>
      </c>
      <c r="D550" t="s">
        <v>172</v>
      </c>
      <c r="E550">
        <v>17423.153692614771</v>
      </c>
      <c r="F550">
        <v>30</v>
      </c>
      <c r="G550" t="s">
        <v>697</v>
      </c>
      <c r="H550">
        <v>1</v>
      </c>
    </row>
    <row r="551" spans="1:8" x14ac:dyDescent="0.25">
      <c r="A551" s="26" t="s">
        <v>1068</v>
      </c>
      <c r="B551" t="s">
        <v>101</v>
      </c>
      <c r="C551" t="s">
        <v>408</v>
      </c>
      <c r="D551" t="s">
        <v>172</v>
      </c>
      <c r="E551">
        <v>17423.153692614771</v>
      </c>
      <c r="F551">
        <v>30</v>
      </c>
      <c r="G551" t="s">
        <v>696</v>
      </c>
      <c r="H551">
        <v>1</v>
      </c>
    </row>
    <row r="552" spans="1:8" x14ac:dyDescent="0.25">
      <c r="A552" s="26" t="s">
        <v>1069</v>
      </c>
      <c r="B552" t="s">
        <v>101</v>
      </c>
      <c r="C552" t="s">
        <v>408</v>
      </c>
      <c r="D552" t="s">
        <v>172</v>
      </c>
      <c r="E552">
        <v>17423.153692614771</v>
      </c>
      <c r="F552">
        <v>30</v>
      </c>
      <c r="G552" t="s">
        <v>130</v>
      </c>
      <c r="H552">
        <v>1</v>
      </c>
    </row>
    <row r="553" spans="1:8" x14ac:dyDescent="0.25">
      <c r="A553" s="26" t="s">
        <v>1070</v>
      </c>
      <c r="B553" t="s">
        <v>101</v>
      </c>
      <c r="C553" t="s">
        <v>408</v>
      </c>
      <c r="D553" t="s">
        <v>172</v>
      </c>
      <c r="E553">
        <v>17423.153692614771</v>
      </c>
      <c r="F553">
        <v>30</v>
      </c>
      <c r="G553" t="s">
        <v>696</v>
      </c>
      <c r="H553">
        <v>1</v>
      </c>
    </row>
    <row r="554" spans="1:8" x14ac:dyDescent="0.25">
      <c r="A554" s="26" t="s">
        <v>1071</v>
      </c>
      <c r="B554" t="s">
        <v>101</v>
      </c>
      <c r="C554" t="s">
        <v>408</v>
      </c>
      <c r="D554" t="s">
        <v>172</v>
      </c>
      <c r="E554">
        <v>17423.153692614771</v>
      </c>
      <c r="F554">
        <v>30</v>
      </c>
      <c r="G554" t="s">
        <v>696</v>
      </c>
      <c r="H554">
        <v>1</v>
      </c>
    </row>
    <row r="555" spans="1:8" x14ac:dyDescent="0.25">
      <c r="A555" s="26" t="s">
        <v>1072</v>
      </c>
      <c r="B555" t="s">
        <v>101</v>
      </c>
      <c r="C555" t="s">
        <v>408</v>
      </c>
      <c r="D555" t="s">
        <v>172</v>
      </c>
      <c r="E555">
        <v>17423.153692614771</v>
      </c>
      <c r="F555">
        <v>30</v>
      </c>
      <c r="G555" t="s">
        <v>130</v>
      </c>
      <c r="H555">
        <v>1</v>
      </c>
    </row>
    <row r="556" spans="1:8" x14ac:dyDescent="0.25">
      <c r="A556" s="26" t="s">
        <v>1073</v>
      </c>
      <c r="B556" t="s">
        <v>101</v>
      </c>
      <c r="C556" t="s">
        <v>408</v>
      </c>
      <c r="D556" t="s">
        <v>172</v>
      </c>
      <c r="E556">
        <v>17423.153692614771</v>
      </c>
      <c r="F556">
        <v>30</v>
      </c>
      <c r="G556" t="s">
        <v>130</v>
      </c>
      <c r="H556">
        <v>1</v>
      </c>
    </row>
    <row r="557" spans="1:8" x14ac:dyDescent="0.25">
      <c r="A557" s="26" t="s">
        <v>1074</v>
      </c>
      <c r="B557" t="s">
        <v>101</v>
      </c>
      <c r="C557" t="s">
        <v>408</v>
      </c>
      <c r="D557" t="s">
        <v>172</v>
      </c>
      <c r="E557">
        <v>17423.153692614771</v>
      </c>
      <c r="F557">
        <v>30</v>
      </c>
      <c r="G557" t="s">
        <v>696</v>
      </c>
      <c r="H557">
        <v>1</v>
      </c>
    </row>
    <row r="558" spans="1:8" x14ac:dyDescent="0.25">
      <c r="A558" s="26" t="s">
        <v>1075</v>
      </c>
      <c r="B558" t="s">
        <v>101</v>
      </c>
      <c r="C558" t="s">
        <v>408</v>
      </c>
      <c r="D558" t="s">
        <v>172</v>
      </c>
      <c r="E558">
        <v>17423.153692614771</v>
      </c>
      <c r="F558">
        <v>30</v>
      </c>
      <c r="G558" t="s">
        <v>130</v>
      </c>
      <c r="H558">
        <v>1</v>
      </c>
    </row>
    <row r="559" spans="1:8" x14ac:dyDescent="0.25">
      <c r="A559" s="26" t="s">
        <v>1076</v>
      </c>
      <c r="B559" t="s">
        <v>101</v>
      </c>
      <c r="C559" t="s">
        <v>408</v>
      </c>
      <c r="D559" t="s">
        <v>172</v>
      </c>
      <c r="E559">
        <v>17423.153692614771</v>
      </c>
      <c r="F559">
        <v>30</v>
      </c>
      <c r="G559" t="s">
        <v>697</v>
      </c>
      <c r="H559">
        <v>2</v>
      </c>
    </row>
    <row r="560" spans="1:8" x14ac:dyDescent="0.25">
      <c r="A560" s="26" t="s">
        <v>1077</v>
      </c>
      <c r="B560" t="s">
        <v>101</v>
      </c>
      <c r="C560" t="s">
        <v>408</v>
      </c>
      <c r="D560" t="s">
        <v>172</v>
      </c>
      <c r="E560">
        <v>17423.153692614771</v>
      </c>
      <c r="F560">
        <v>30</v>
      </c>
      <c r="G560" t="s">
        <v>697</v>
      </c>
      <c r="H560">
        <v>1</v>
      </c>
    </row>
    <row r="561" spans="1:8" x14ac:dyDescent="0.25">
      <c r="A561" s="26" t="s">
        <v>1078</v>
      </c>
      <c r="B561" t="s">
        <v>101</v>
      </c>
      <c r="C561" t="s">
        <v>408</v>
      </c>
      <c r="D561" t="s">
        <v>172</v>
      </c>
      <c r="E561">
        <v>17423.153692614771</v>
      </c>
      <c r="F561">
        <v>30</v>
      </c>
    </row>
    <row r="562" spans="1:8" x14ac:dyDescent="0.25">
      <c r="A562" s="26" t="s">
        <v>1079</v>
      </c>
      <c r="B562" t="s">
        <v>101</v>
      </c>
      <c r="C562" t="s">
        <v>408</v>
      </c>
      <c r="D562" t="s">
        <v>172</v>
      </c>
      <c r="E562">
        <v>17423.153692614771</v>
      </c>
      <c r="F562">
        <v>30</v>
      </c>
    </row>
    <row r="563" spans="1:8" x14ac:dyDescent="0.25">
      <c r="A563" s="26" t="s">
        <v>1080</v>
      </c>
      <c r="B563" t="s">
        <v>101</v>
      </c>
      <c r="C563" t="s">
        <v>408</v>
      </c>
      <c r="D563" t="s">
        <v>172</v>
      </c>
      <c r="E563">
        <v>17423.153692614771</v>
      </c>
      <c r="F563">
        <v>30</v>
      </c>
    </row>
    <row r="564" spans="1:8" x14ac:dyDescent="0.25">
      <c r="A564" s="26" t="s">
        <v>1081</v>
      </c>
      <c r="B564" t="s">
        <v>101</v>
      </c>
      <c r="C564" t="s">
        <v>408</v>
      </c>
      <c r="D564" t="s">
        <v>172</v>
      </c>
      <c r="E564">
        <v>17423.153692614771</v>
      </c>
      <c r="F564">
        <v>30</v>
      </c>
    </row>
    <row r="565" spans="1:8" x14ac:dyDescent="0.25">
      <c r="A565" s="26" t="s">
        <v>1082</v>
      </c>
      <c r="B565" t="s">
        <v>101</v>
      </c>
      <c r="C565" t="s">
        <v>408</v>
      </c>
      <c r="D565" t="s">
        <v>172</v>
      </c>
      <c r="E565">
        <v>17423.153692614771</v>
      </c>
      <c r="F565">
        <v>30</v>
      </c>
    </row>
    <row r="566" spans="1:8" x14ac:dyDescent="0.25">
      <c r="A566" s="26" t="s">
        <v>1083</v>
      </c>
      <c r="B566" t="s">
        <v>101</v>
      </c>
      <c r="C566" t="s">
        <v>408</v>
      </c>
      <c r="D566" t="s">
        <v>172</v>
      </c>
      <c r="E566">
        <v>17423.153692614771</v>
      </c>
      <c r="F566">
        <v>30</v>
      </c>
    </row>
    <row r="567" spans="1:8" x14ac:dyDescent="0.25">
      <c r="A567" s="26" t="s">
        <v>1084</v>
      </c>
      <c r="B567" t="s">
        <v>101</v>
      </c>
      <c r="C567" t="s">
        <v>408</v>
      </c>
      <c r="D567" t="s">
        <v>172</v>
      </c>
      <c r="E567">
        <v>17423.153692614771</v>
      </c>
      <c r="F567">
        <v>30</v>
      </c>
    </row>
    <row r="568" spans="1:8" x14ac:dyDescent="0.25">
      <c r="A568" s="26" t="s">
        <v>1085</v>
      </c>
      <c r="B568" t="s">
        <v>101</v>
      </c>
      <c r="C568" t="s">
        <v>408</v>
      </c>
      <c r="D568" t="s">
        <v>172</v>
      </c>
      <c r="E568">
        <v>17423.153692614771</v>
      </c>
      <c r="F568">
        <v>30</v>
      </c>
    </row>
    <row r="569" spans="1:8" x14ac:dyDescent="0.25">
      <c r="A569" s="26" t="s">
        <v>1086</v>
      </c>
      <c r="B569" t="s">
        <v>101</v>
      </c>
      <c r="C569" t="s">
        <v>408</v>
      </c>
      <c r="D569" t="s">
        <v>172</v>
      </c>
      <c r="E569">
        <v>17423.153692614771</v>
      </c>
      <c r="F569">
        <v>30</v>
      </c>
    </row>
    <row r="570" spans="1:8" x14ac:dyDescent="0.25">
      <c r="A570" s="26" t="s">
        <v>1087</v>
      </c>
      <c r="B570" t="s">
        <v>101</v>
      </c>
      <c r="C570" t="s">
        <v>408</v>
      </c>
      <c r="D570" t="s">
        <v>172</v>
      </c>
      <c r="E570">
        <v>17423.153692614771</v>
      </c>
      <c r="F570">
        <v>30</v>
      </c>
    </row>
    <row r="571" spans="1:8" x14ac:dyDescent="0.25">
      <c r="A571" s="26" t="s">
        <v>1088</v>
      </c>
      <c r="B571" t="s">
        <v>101</v>
      </c>
      <c r="C571" t="s">
        <v>408</v>
      </c>
      <c r="D571" t="s">
        <v>172</v>
      </c>
      <c r="E571">
        <v>17423.153692614771</v>
      </c>
      <c r="F571">
        <v>30</v>
      </c>
    </row>
    <row r="572" spans="1:8" x14ac:dyDescent="0.25">
      <c r="A572" s="26" t="s">
        <v>1089</v>
      </c>
      <c r="B572" t="s">
        <v>101</v>
      </c>
      <c r="C572" t="s">
        <v>408</v>
      </c>
      <c r="D572" t="s">
        <v>172</v>
      </c>
      <c r="E572">
        <v>16873.253493013974</v>
      </c>
      <c r="F572">
        <v>30</v>
      </c>
      <c r="G572" t="s">
        <v>130</v>
      </c>
      <c r="H572">
        <v>1</v>
      </c>
    </row>
    <row r="573" spans="1:8" x14ac:dyDescent="0.25">
      <c r="A573" s="26" t="s">
        <v>1090</v>
      </c>
      <c r="B573" t="s">
        <v>101</v>
      </c>
      <c r="C573" t="s">
        <v>408</v>
      </c>
      <c r="D573" t="s">
        <v>172</v>
      </c>
      <c r="E573">
        <v>16873.253493013974</v>
      </c>
      <c r="F573">
        <v>30</v>
      </c>
      <c r="G573" t="s">
        <v>697</v>
      </c>
      <c r="H573">
        <v>1</v>
      </c>
    </row>
    <row r="574" spans="1:8" x14ac:dyDescent="0.25">
      <c r="A574" s="26" t="s">
        <v>1091</v>
      </c>
      <c r="B574" t="s">
        <v>101</v>
      </c>
      <c r="C574" t="s">
        <v>408</v>
      </c>
      <c r="D574" t="s">
        <v>172</v>
      </c>
      <c r="E574">
        <v>16873.253493013974</v>
      </c>
      <c r="F574">
        <v>30</v>
      </c>
      <c r="G574" t="s">
        <v>130</v>
      </c>
      <c r="H574">
        <v>1</v>
      </c>
    </row>
    <row r="575" spans="1:8" x14ac:dyDescent="0.25">
      <c r="A575" s="26" t="s">
        <v>1092</v>
      </c>
      <c r="B575" t="s">
        <v>101</v>
      </c>
      <c r="C575" t="s">
        <v>408</v>
      </c>
      <c r="D575" t="s">
        <v>172</v>
      </c>
      <c r="E575">
        <v>16873.253493013974</v>
      </c>
      <c r="F575">
        <v>30</v>
      </c>
      <c r="G575" t="s">
        <v>130</v>
      </c>
      <c r="H575">
        <v>1</v>
      </c>
    </row>
    <row r="576" spans="1:8" x14ac:dyDescent="0.25">
      <c r="A576" s="26" t="s">
        <v>1093</v>
      </c>
      <c r="B576" t="s">
        <v>101</v>
      </c>
      <c r="C576" t="s">
        <v>408</v>
      </c>
      <c r="D576" t="s">
        <v>172</v>
      </c>
      <c r="E576">
        <v>16873.253493013974</v>
      </c>
      <c r="F576">
        <v>30</v>
      </c>
      <c r="G576" t="s">
        <v>697</v>
      </c>
      <c r="H576">
        <v>1</v>
      </c>
    </row>
    <row r="577" spans="1:8" x14ac:dyDescent="0.25">
      <c r="A577" s="26" t="s">
        <v>1094</v>
      </c>
      <c r="B577" t="s">
        <v>101</v>
      </c>
      <c r="C577" t="s">
        <v>408</v>
      </c>
      <c r="D577" t="s">
        <v>172</v>
      </c>
      <c r="E577">
        <v>16873.253493013974</v>
      </c>
      <c r="F577">
        <v>30</v>
      </c>
      <c r="G577" t="s">
        <v>130</v>
      </c>
      <c r="H577">
        <v>1</v>
      </c>
    </row>
    <row r="578" spans="1:8" x14ac:dyDescent="0.25">
      <c r="A578" s="26" t="s">
        <v>1095</v>
      </c>
      <c r="B578" t="s">
        <v>101</v>
      </c>
      <c r="C578" t="s">
        <v>408</v>
      </c>
      <c r="D578" t="s">
        <v>172</v>
      </c>
      <c r="E578">
        <v>16873.253493013974</v>
      </c>
      <c r="F578">
        <v>30</v>
      </c>
      <c r="G578" t="s">
        <v>697</v>
      </c>
      <c r="H578">
        <v>1</v>
      </c>
    </row>
    <row r="579" spans="1:8" x14ac:dyDescent="0.25">
      <c r="A579" s="26" t="s">
        <v>1096</v>
      </c>
      <c r="B579" t="s">
        <v>101</v>
      </c>
      <c r="C579" t="s">
        <v>408</v>
      </c>
      <c r="D579" t="s">
        <v>172</v>
      </c>
      <c r="E579">
        <v>16873.253493013974</v>
      </c>
      <c r="F579">
        <v>30</v>
      </c>
      <c r="G579" t="s">
        <v>130</v>
      </c>
      <c r="H579">
        <v>1</v>
      </c>
    </row>
    <row r="580" spans="1:8" x14ac:dyDescent="0.25">
      <c r="A580" s="26" t="s">
        <v>1097</v>
      </c>
      <c r="B580" t="s">
        <v>101</v>
      </c>
      <c r="C580" t="s">
        <v>408</v>
      </c>
      <c r="D580" t="s">
        <v>172</v>
      </c>
      <c r="E580">
        <v>16873.253493013974</v>
      </c>
      <c r="F580">
        <v>30</v>
      </c>
      <c r="G580" t="s">
        <v>130</v>
      </c>
      <c r="H580">
        <v>1</v>
      </c>
    </row>
    <row r="581" spans="1:8" x14ac:dyDescent="0.25">
      <c r="A581" s="26" t="s">
        <v>1098</v>
      </c>
      <c r="B581" t="s">
        <v>101</v>
      </c>
      <c r="C581" t="s">
        <v>408</v>
      </c>
      <c r="D581" t="s">
        <v>172</v>
      </c>
      <c r="E581">
        <v>16873.253493013974</v>
      </c>
      <c r="F581">
        <v>30</v>
      </c>
      <c r="G581" t="s">
        <v>130</v>
      </c>
      <c r="H581">
        <v>1</v>
      </c>
    </row>
    <row r="582" spans="1:8" x14ac:dyDescent="0.25">
      <c r="A582" s="26" t="s">
        <v>1099</v>
      </c>
      <c r="B582" t="s">
        <v>101</v>
      </c>
      <c r="C582" t="s">
        <v>408</v>
      </c>
      <c r="D582" t="s">
        <v>172</v>
      </c>
      <c r="E582">
        <v>16873.253493013974</v>
      </c>
      <c r="F582">
        <v>30</v>
      </c>
      <c r="G582" t="s">
        <v>697</v>
      </c>
      <c r="H582">
        <v>1</v>
      </c>
    </row>
    <row r="583" spans="1:8" x14ac:dyDescent="0.25">
      <c r="A583" s="26" t="s">
        <v>1100</v>
      </c>
      <c r="B583" t="s">
        <v>101</v>
      </c>
      <c r="C583" t="s">
        <v>408</v>
      </c>
      <c r="D583" t="s">
        <v>172</v>
      </c>
      <c r="E583">
        <v>16873.253493013974</v>
      </c>
      <c r="F583">
        <v>30</v>
      </c>
      <c r="G583" t="s">
        <v>130</v>
      </c>
      <c r="H583">
        <v>1</v>
      </c>
    </row>
    <row r="584" spans="1:8" x14ac:dyDescent="0.25">
      <c r="A584" s="26" t="s">
        <v>1101</v>
      </c>
      <c r="B584" t="s">
        <v>101</v>
      </c>
      <c r="C584" t="s">
        <v>408</v>
      </c>
      <c r="D584" t="s">
        <v>172</v>
      </c>
      <c r="E584">
        <v>16873.253493013974</v>
      </c>
      <c r="F584">
        <v>30</v>
      </c>
      <c r="G584" t="s">
        <v>130</v>
      </c>
      <c r="H584">
        <v>1</v>
      </c>
    </row>
    <row r="585" spans="1:8" x14ac:dyDescent="0.25">
      <c r="A585" s="26" t="s">
        <v>1102</v>
      </c>
      <c r="B585" t="s">
        <v>101</v>
      </c>
      <c r="C585" t="s">
        <v>408</v>
      </c>
      <c r="D585" t="s">
        <v>172</v>
      </c>
      <c r="E585">
        <v>16873.253493013974</v>
      </c>
      <c r="F585">
        <v>30</v>
      </c>
      <c r="G585" t="s">
        <v>696</v>
      </c>
      <c r="H585">
        <v>1</v>
      </c>
    </row>
    <row r="586" spans="1:8" x14ac:dyDescent="0.25">
      <c r="A586" s="26" t="s">
        <v>1103</v>
      </c>
      <c r="B586" t="s">
        <v>101</v>
      </c>
      <c r="C586" t="s">
        <v>408</v>
      </c>
      <c r="D586" t="s">
        <v>172</v>
      </c>
      <c r="E586">
        <v>16873.253493013974</v>
      </c>
      <c r="F586">
        <v>30</v>
      </c>
      <c r="G586" t="s">
        <v>697</v>
      </c>
      <c r="H586">
        <v>1</v>
      </c>
    </row>
    <row r="587" spans="1:8" x14ac:dyDescent="0.25">
      <c r="A587" s="26" t="s">
        <v>1104</v>
      </c>
      <c r="B587" t="s">
        <v>101</v>
      </c>
      <c r="C587" t="s">
        <v>408</v>
      </c>
      <c r="D587" t="s">
        <v>172</v>
      </c>
      <c r="E587">
        <v>16873.253493013974</v>
      </c>
      <c r="F587">
        <v>30</v>
      </c>
      <c r="G587" t="s">
        <v>697</v>
      </c>
      <c r="H587">
        <v>1</v>
      </c>
    </row>
    <row r="588" spans="1:8" x14ac:dyDescent="0.25">
      <c r="A588" s="26" t="s">
        <v>1105</v>
      </c>
      <c r="B588" t="s">
        <v>101</v>
      </c>
      <c r="C588" t="s">
        <v>408</v>
      </c>
      <c r="D588" t="s">
        <v>172</v>
      </c>
      <c r="E588">
        <v>16873.253493013974</v>
      </c>
      <c r="F588">
        <v>30</v>
      </c>
      <c r="G588" t="s">
        <v>696</v>
      </c>
      <c r="H588">
        <v>1</v>
      </c>
    </row>
    <row r="589" spans="1:8" x14ac:dyDescent="0.25">
      <c r="A589" s="26" t="s">
        <v>1106</v>
      </c>
      <c r="B589" t="s">
        <v>101</v>
      </c>
      <c r="C589" t="s">
        <v>408</v>
      </c>
      <c r="D589" t="s">
        <v>172</v>
      </c>
      <c r="E589">
        <v>16873.253493013974</v>
      </c>
      <c r="F589">
        <v>30</v>
      </c>
      <c r="G589" t="s">
        <v>130</v>
      </c>
      <c r="H589">
        <v>1</v>
      </c>
    </row>
    <row r="590" spans="1:8" x14ac:dyDescent="0.25">
      <c r="A590" s="26" t="s">
        <v>1107</v>
      </c>
      <c r="B590" t="s">
        <v>101</v>
      </c>
      <c r="C590" t="s">
        <v>408</v>
      </c>
      <c r="D590" t="s">
        <v>172</v>
      </c>
      <c r="E590">
        <v>16873.253493013974</v>
      </c>
      <c r="F590">
        <v>30</v>
      </c>
    </row>
    <row r="591" spans="1:8" x14ac:dyDescent="0.25">
      <c r="A591" s="26" t="s">
        <v>1108</v>
      </c>
      <c r="B591" t="s">
        <v>101</v>
      </c>
      <c r="C591" t="s">
        <v>408</v>
      </c>
      <c r="D591" t="s">
        <v>172</v>
      </c>
      <c r="E591">
        <v>16873.253493013974</v>
      </c>
      <c r="F591">
        <v>30</v>
      </c>
    </row>
    <row r="592" spans="1:8" x14ac:dyDescent="0.25">
      <c r="A592" s="26" t="s">
        <v>1109</v>
      </c>
      <c r="B592" t="s">
        <v>101</v>
      </c>
      <c r="C592" t="s">
        <v>408</v>
      </c>
      <c r="D592" t="s">
        <v>172</v>
      </c>
      <c r="E592">
        <v>16873.253493013974</v>
      </c>
      <c r="F592">
        <v>30</v>
      </c>
    </row>
    <row r="593" spans="1:6" x14ac:dyDescent="0.25">
      <c r="A593" s="26" t="s">
        <v>1110</v>
      </c>
      <c r="B593" t="s">
        <v>101</v>
      </c>
      <c r="C593" t="s">
        <v>408</v>
      </c>
      <c r="D593" t="s">
        <v>172</v>
      </c>
      <c r="E593">
        <v>16873.253493013974</v>
      </c>
      <c r="F593">
        <v>30</v>
      </c>
    </row>
    <row r="594" spans="1:6" x14ac:dyDescent="0.25">
      <c r="A594" s="26" t="s">
        <v>1111</v>
      </c>
      <c r="B594" t="s">
        <v>101</v>
      </c>
      <c r="C594" t="s">
        <v>408</v>
      </c>
      <c r="D594" t="s">
        <v>172</v>
      </c>
      <c r="E594">
        <v>16873.253493013974</v>
      </c>
      <c r="F594">
        <v>30</v>
      </c>
    </row>
    <row r="595" spans="1:6" x14ac:dyDescent="0.25">
      <c r="A595" s="26" t="s">
        <v>1112</v>
      </c>
      <c r="B595" t="s">
        <v>101</v>
      </c>
      <c r="C595" t="s">
        <v>408</v>
      </c>
      <c r="D595" t="s">
        <v>172</v>
      </c>
      <c r="E595">
        <v>16873.253493013974</v>
      </c>
      <c r="F595">
        <v>30</v>
      </c>
    </row>
    <row r="596" spans="1:6" x14ac:dyDescent="0.25">
      <c r="A596" s="26" t="s">
        <v>1113</v>
      </c>
      <c r="B596" t="s">
        <v>101</v>
      </c>
      <c r="C596" t="s">
        <v>408</v>
      </c>
      <c r="D596" t="s">
        <v>172</v>
      </c>
      <c r="E596">
        <v>16873.253493013974</v>
      </c>
      <c r="F596">
        <v>30</v>
      </c>
    </row>
    <row r="597" spans="1:6" x14ac:dyDescent="0.25">
      <c r="A597" s="26" t="s">
        <v>1114</v>
      </c>
      <c r="B597" t="s">
        <v>101</v>
      </c>
      <c r="C597" t="s">
        <v>408</v>
      </c>
      <c r="D597" t="s">
        <v>172</v>
      </c>
      <c r="E597">
        <v>16873.253493013974</v>
      </c>
      <c r="F597">
        <v>30</v>
      </c>
    </row>
    <row r="598" spans="1:6" x14ac:dyDescent="0.25">
      <c r="A598" s="26" t="s">
        <v>1115</v>
      </c>
      <c r="B598" t="s">
        <v>101</v>
      </c>
      <c r="C598" t="s">
        <v>408</v>
      </c>
      <c r="D598" t="s">
        <v>172</v>
      </c>
      <c r="E598">
        <v>16873.253493013974</v>
      </c>
      <c r="F598">
        <v>30</v>
      </c>
    </row>
    <row r="599" spans="1:6" x14ac:dyDescent="0.25">
      <c r="A599" s="26" t="s">
        <v>1116</v>
      </c>
      <c r="B599" t="s">
        <v>101</v>
      </c>
      <c r="C599" t="s">
        <v>408</v>
      </c>
      <c r="D599" t="s">
        <v>172</v>
      </c>
      <c r="E599">
        <v>16873.253493013974</v>
      </c>
      <c r="F599">
        <v>30</v>
      </c>
    </row>
    <row r="600" spans="1:6" x14ac:dyDescent="0.25">
      <c r="A600" s="26" t="s">
        <v>1117</v>
      </c>
      <c r="B600" t="s">
        <v>101</v>
      </c>
      <c r="C600" t="s">
        <v>408</v>
      </c>
      <c r="D600" t="s">
        <v>172</v>
      </c>
      <c r="E600">
        <v>16873.253493013974</v>
      </c>
      <c r="F600">
        <v>30</v>
      </c>
    </row>
    <row r="601" spans="1:6" x14ac:dyDescent="0.25">
      <c r="A601" s="26" t="s">
        <v>1118</v>
      </c>
      <c r="B601" t="s">
        <v>101</v>
      </c>
      <c r="C601" t="s">
        <v>408</v>
      </c>
      <c r="D601" t="s">
        <v>172</v>
      </c>
      <c r="E601">
        <v>16873.253493013974</v>
      </c>
      <c r="F601">
        <v>30</v>
      </c>
    </row>
    <row r="602" spans="1:6" x14ac:dyDescent="0.25">
      <c r="A602" s="26" t="s">
        <v>1119</v>
      </c>
      <c r="B602" t="s">
        <v>101</v>
      </c>
      <c r="C602" t="s">
        <v>408</v>
      </c>
      <c r="D602" t="s">
        <v>172</v>
      </c>
      <c r="E602">
        <v>17713.572854291418</v>
      </c>
      <c r="F602">
        <v>30</v>
      </c>
    </row>
    <row r="603" spans="1:6" x14ac:dyDescent="0.25">
      <c r="A603" s="26" t="s">
        <v>1120</v>
      </c>
      <c r="B603" t="s">
        <v>101</v>
      </c>
      <c r="C603" t="s">
        <v>408</v>
      </c>
      <c r="D603" t="s">
        <v>172</v>
      </c>
      <c r="E603">
        <v>17713.572854291418</v>
      </c>
      <c r="F603">
        <v>30</v>
      </c>
    </row>
    <row r="604" spans="1:6" x14ac:dyDescent="0.25">
      <c r="A604" s="26" t="s">
        <v>1121</v>
      </c>
      <c r="B604" t="s">
        <v>101</v>
      </c>
      <c r="C604" t="s">
        <v>408</v>
      </c>
      <c r="D604" t="s">
        <v>172</v>
      </c>
      <c r="E604">
        <v>17713.572854291418</v>
      </c>
      <c r="F604">
        <v>30</v>
      </c>
    </row>
    <row r="605" spans="1:6" x14ac:dyDescent="0.25">
      <c r="A605" s="26" t="s">
        <v>1122</v>
      </c>
      <c r="B605" t="s">
        <v>101</v>
      </c>
      <c r="C605" t="s">
        <v>408</v>
      </c>
      <c r="D605" t="s">
        <v>172</v>
      </c>
      <c r="E605">
        <v>17713.572854291418</v>
      </c>
      <c r="F605">
        <v>30</v>
      </c>
    </row>
    <row r="606" spans="1:6" x14ac:dyDescent="0.25">
      <c r="A606" s="26" t="s">
        <v>1123</v>
      </c>
      <c r="B606" t="s">
        <v>101</v>
      </c>
      <c r="C606" t="s">
        <v>408</v>
      </c>
      <c r="D606" t="s">
        <v>172</v>
      </c>
      <c r="E606">
        <v>17713.572854291418</v>
      </c>
      <c r="F606">
        <v>30</v>
      </c>
    </row>
    <row r="607" spans="1:6" x14ac:dyDescent="0.25">
      <c r="A607" s="26" t="s">
        <v>1124</v>
      </c>
      <c r="B607" t="s">
        <v>101</v>
      </c>
      <c r="C607" t="s">
        <v>408</v>
      </c>
      <c r="D607" t="s">
        <v>172</v>
      </c>
      <c r="E607">
        <v>17713.572854291418</v>
      </c>
      <c r="F607">
        <v>30</v>
      </c>
    </row>
    <row r="608" spans="1:6" x14ac:dyDescent="0.25">
      <c r="A608" s="26" t="s">
        <v>1125</v>
      </c>
      <c r="B608" t="s">
        <v>101</v>
      </c>
      <c r="C608" t="s">
        <v>408</v>
      </c>
      <c r="D608" t="s">
        <v>172</v>
      </c>
      <c r="E608">
        <v>17713.572854291418</v>
      </c>
      <c r="F608">
        <v>30</v>
      </c>
    </row>
    <row r="609" spans="1:6" x14ac:dyDescent="0.25">
      <c r="A609" s="26" t="s">
        <v>1126</v>
      </c>
      <c r="B609" t="s">
        <v>101</v>
      </c>
      <c r="C609" t="s">
        <v>408</v>
      </c>
      <c r="D609" t="s">
        <v>172</v>
      </c>
      <c r="E609">
        <v>17713.572854291418</v>
      </c>
      <c r="F609">
        <v>30</v>
      </c>
    </row>
    <row r="610" spans="1:6" x14ac:dyDescent="0.25">
      <c r="A610" s="26" t="s">
        <v>1127</v>
      </c>
      <c r="B610" t="s">
        <v>101</v>
      </c>
      <c r="C610" t="s">
        <v>408</v>
      </c>
      <c r="D610" t="s">
        <v>172</v>
      </c>
      <c r="E610">
        <v>17713.572854291418</v>
      </c>
      <c r="F610">
        <v>30</v>
      </c>
    </row>
    <row r="611" spans="1:6" x14ac:dyDescent="0.25">
      <c r="A611" s="26" t="s">
        <v>1128</v>
      </c>
      <c r="B611" t="s">
        <v>101</v>
      </c>
      <c r="C611" t="s">
        <v>408</v>
      </c>
      <c r="D611" t="s">
        <v>172</v>
      </c>
      <c r="E611">
        <v>17713.572854291418</v>
      </c>
      <c r="F611">
        <v>30</v>
      </c>
    </row>
    <row r="612" spans="1:6" x14ac:dyDescent="0.25">
      <c r="A612" s="26" t="s">
        <v>1129</v>
      </c>
      <c r="B612" t="s">
        <v>101</v>
      </c>
      <c r="C612" t="s">
        <v>408</v>
      </c>
      <c r="D612" t="s">
        <v>172</v>
      </c>
      <c r="E612">
        <v>17713.572854291418</v>
      </c>
      <c r="F612">
        <v>30</v>
      </c>
    </row>
    <row r="613" spans="1:6" x14ac:dyDescent="0.25">
      <c r="A613" s="26" t="s">
        <v>1130</v>
      </c>
      <c r="B613" t="s">
        <v>101</v>
      </c>
      <c r="C613" t="s">
        <v>408</v>
      </c>
      <c r="D613" t="s">
        <v>172</v>
      </c>
      <c r="E613">
        <v>17713.572854291418</v>
      </c>
      <c r="F613">
        <v>30</v>
      </c>
    </row>
    <row r="614" spans="1:6" x14ac:dyDescent="0.25">
      <c r="A614" s="26" t="s">
        <v>1131</v>
      </c>
      <c r="B614" t="s">
        <v>101</v>
      </c>
      <c r="C614" t="s">
        <v>408</v>
      </c>
      <c r="D614" t="s">
        <v>172</v>
      </c>
      <c r="E614">
        <v>17713.572854291418</v>
      </c>
      <c r="F614">
        <v>30</v>
      </c>
    </row>
    <row r="615" spans="1:6" x14ac:dyDescent="0.25">
      <c r="A615" s="26" t="s">
        <v>1132</v>
      </c>
      <c r="B615" t="s">
        <v>101</v>
      </c>
      <c r="C615" t="s">
        <v>408</v>
      </c>
      <c r="D615" t="s">
        <v>172</v>
      </c>
      <c r="E615">
        <v>17713.572854291418</v>
      </c>
      <c r="F615">
        <v>30</v>
      </c>
    </row>
    <row r="616" spans="1:6" x14ac:dyDescent="0.25">
      <c r="A616" s="26" t="s">
        <v>1133</v>
      </c>
      <c r="B616" t="s">
        <v>101</v>
      </c>
      <c r="C616" t="s">
        <v>408</v>
      </c>
      <c r="D616" t="s">
        <v>172</v>
      </c>
      <c r="E616">
        <v>17713.572854291418</v>
      </c>
      <c r="F616">
        <v>30</v>
      </c>
    </row>
    <row r="617" spans="1:6" x14ac:dyDescent="0.25">
      <c r="A617" s="26" t="s">
        <v>1134</v>
      </c>
      <c r="B617" t="s">
        <v>101</v>
      </c>
      <c r="C617" t="s">
        <v>408</v>
      </c>
      <c r="D617" t="s">
        <v>172</v>
      </c>
      <c r="E617">
        <v>17713.572854291418</v>
      </c>
      <c r="F617">
        <v>30</v>
      </c>
    </row>
    <row r="618" spans="1:6" x14ac:dyDescent="0.25">
      <c r="A618" s="26" t="s">
        <v>1135</v>
      </c>
      <c r="B618" t="s">
        <v>101</v>
      </c>
      <c r="C618" t="s">
        <v>408</v>
      </c>
      <c r="D618" t="s">
        <v>172</v>
      </c>
      <c r="E618">
        <v>17713.572854291418</v>
      </c>
      <c r="F618">
        <v>30</v>
      </c>
    </row>
    <row r="619" spans="1:6" x14ac:dyDescent="0.25">
      <c r="A619" s="26" t="s">
        <v>1136</v>
      </c>
      <c r="B619" t="s">
        <v>101</v>
      </c>
      <c r="C619" t="s">
        <v>408</v>
      </c>
      <c r="D619" t="s">
        <v>172</v>
      </c>
      <c r="E619">
        <v>17713.572854291418</v>
      </c>
      <c r="F619">
        <v>30</v>
      </c>
    </row>
    <row r="620" spans="1:6" x14ac:dyDescent="0.25">
      <c r="A620" s="26" t="s">
        <v>1137</v>
      </c>
      <c r="B620" t="s">
        <v>101</v>
      </c>
      <c r="C620" t="s">
        <v>408</v>
      </c>
      <c r="D620" t="s">
        <v>172</v>
      </c>
      <c r="E620">
        <v>17713.572854291418</v>
      </c>
      <c r="F620">
        <v>30</v>
      </c>
    </row>
    <row r="621" spans="1:6" x14ac:dyDescent="0.25">
      <c r="A621" s="26" t="s">
        <v>1138</v>
      </c>
      <c r="B621" t="s">
        <v>101</v>
      </c>
      <c r="C621" t="s">
        <v>408</v>
      </c>
      <c r="D621" t="s">
        <v>172</v>
      </c>
      <c r="E621">
        <v>17713.572854291418</v>
      </c>
      <c r="F621">
        <v>30</v>
      </c>
    </row>
    <row r="622" spans="1:6" x14ac:dyDescent="0.25">
      <c r="A622" s="26" t="s">
        <v>1139</v>
      </c>
      <c r="B622" t="s">
        <v>101</v>
      </c>
      <c r="C622" t="s">
        <v>408</v>
      </c>
      <c r="D622" t="s">
        <v>172</v>
      </c>
      <c r="E622">
        <v>17713.572854291418</v>
      </c>
      <c r="F622">
        <v>30</v>
      </c>
    </row>
    <row r="623" spans="1:6" x14ac:dyDescent="0.25">
      <c r="A623" s="26" t="s">
        <v>1140</v>
      </c>
      <c r="B623" t="s">
        <v>101</v>
      </c>
      <c r="C623" t="s">
        <v>408</v>
      </c>
      <c r="D623" t="s">
        <v>172</v>
      </c>
      <c r="E623">
        <v>17713.572854291418</v>
      </c>
      <c r="F623">
        <v>30</v>
      </c>
    </row>
    <row r="624" spans="1:6" x14ac:dyDescent="0.25">
      <c r="A624" s="26" t="s">
        <v>1141</v>
      </c>
      <c r="B624" t="s">
        <v>101</v>
      </c>
      <c r="C624" t="s">
        <v>408</v>
      </c>
      <c r="D624" t="s">
        <v>172</v>
      </c>
      <c r="E624">
        <v>17713.572854291418</v>
      </c>
      <c r="F624">
        <v>30</v>
      </c>
    </row>
    <row r="625" spans="1:6" x14ac:dyDescent="0.25">
      <c r="A625" s="26" t="s">
        <v>1142</v>
      </c>
      <c r="B625" t="s">
        <v>101</v>
      </c>
      <c r="C625" t="s">
        <v>408</v>
      </c>
      <c r="D625" t="s">
        <v>172</v>
      </c>
      <c r="E625">
        <v>17713.572854291418</v>
      </c>
      <c r="F625">
        <v>30</v>
      </c>
    </row>
    <row r="626" spans="1:6" x14ac:dyDescent="0.25">
      <c r="A626" s="26" t="s">
        <v>1143</v>
      </c>
      <c r="B626" t="s">
        <v>101</v>
      </c>
      <c r="C626" t="s">
        <v>408</v>
      </c>
      <c r="D626" t="s">
        <v>172</v>
      </c>
      <c r="E626">
        <v>17713.572854291418</v>
      </c>
      <c r="F626">
        <v>30</v>
      </c>
    </row>
    <row r="627" spans="1:6" x14ac:dyDescent="0.25">
      <c r="A627" s="26" t="s">
        <v>1144</v>
      </c>
      <c r="B627" t="s">
        <v>101</v>
      </c>
      <c r="C627" t="s">
        <v>408</v>
      </c>
      <c r="D627" t="s">
        <v>172</v>
      </c>
      <c r="E627">
        <v>17713.572854291418</v>
      </c>
      <c r="F627">
        <v>30</v>
      </c>
    </row>
    <row r="628" spans="1:6" x14ac:dyDescent="0.25">
      <c r="A628" s="26" t="s">
        <v>1145</v>
      </c>
      <c r="B628" t="s">
        <v>101</v>
      </c>
      <c r="C628" t="s">
        <v>408</v>
      </c>
      <c r="D628" t="s">
        <v>172</v>
      </c>
      <c r="E628">
        <v>17713.572854291418</v>
      </c>
      <c r="F628">
        <v>30</v>
      </c>
    </row>
    <row r="629" spans="1:6" x14ac:dyDescent="0.25">
      <c r="A629" s="26" t="s">
        <v>1146</v>
      </c>
      <c r="B629" t="s">
        <v>101</v>
      </c>
      <c r="C629" t="s">
        <v>408</v>
      </c>
      <c r="D629" t="s">
        <v>172</v>
      </c>
      <c r="E629">
        <v>17713.572854291418</v>
      </c>
      <c r="F629">
        <v>30</v>
      </c>
    </row>
    <row r="630" spans="1:6" x14ac:dyDescent="0.25">
      <c r="A630" s="26" t="s">
        <v>1147</v>
      </c>
      <c r="B630" t="s">
        <v>101</v>
      </c>
      <c r="C630" t="s">
        <v>408</v>
      </c>
      <c r="D630" t="s">
        <v>172</v>
      </c>
      <c r="E630">
        <v>17713.572854291418</v>
      </c>
      <c r="F630">
        <v>30</v>
      </c>
    </row>
    <row r="631" spans="1:6" x14ac:dyDescent="0.25">
      <c r="A631" s="26" t="s">
        <v>1148</v>
      </c>
      <c r="B631" t="s">
        <v>101</v>
      </c>
      <c r="C631" t="s">
        <v>408</v>
      </c>
      <c r="D631" t="s">
        <v>172</v>
      </c>
      <c r="E631">
        <v>17713.572854291418</v>
      </c>
      <c r="F631">
        <v>30</v>
      </c>
    </row>
    <row r="632" spans="1:6" x14ac:dyDescent="0.25">
      <c r="A632" s="26" t="s">
        <v>1149</v>
      </c>
      <c r="B632" t="s">
        <v>101</v>
      </c>
      <c r="C632" t="s">
        <v>408</v>
      </c>
      <c r="D632" t="s">
        <v>172</v>
      </c>
      <c r="E632">
        <v>19322.72155688623</v>
      </c>
      <c r="F632">
        <v>60</v>
      </c>
    </row>
    <row r="633" spans="1:6" x14ac:dyDescent="0.25">
      <c r="A633" s="26" t="s">
        <v>1150</v>
      </c>
      <c r="B633" t="s">
        <v>101</v>
      </c>
      <c r="C633" t="s">
        <v>408</v>
      </c>
      <c r="D633" t="s">
        <v>172</v>
      </c>
      <c r="E633">
        <v>19322.72155688623</v>
      </c>
      <c r="F633">
        <v>60</v>
      </c>
    </row>
    <row r="634" spans="1:6" x14ac:dyDescent="0.25">
      <c r="A634" s="26" t="s">
        <v>1151</v>
      </c>
      <c r="B634" t="s">
        <v>101</v>
      </c>
      <c r="C634" t="s">
        <v>408</v>
      </c>
      <c r="D634" t="s">
        <v>172</v>
      </c>
      <c r="E634">
        <v>19322.72155688623</v>
      </c>
      <c r="F634">
        <v>60</v>
      </c>
    </row>
    <row r="635" spans="1:6" x14ac:dyDescent="0.25">
      <c r="A635" s="26" t="s">
        <v>1152</v>
      </c>
      <c r="B635" t="s">
        <v>101</v>
      </c>
      <c r="C635" t="s">
        <v>408</v>
      </c>
      <c r="D635" t="s">
        <v>172</v>
      </c>
      <c r="E635">
        <v>19322.72155688623</v>
      </c>
      <c r="F635">
        <v>60</v>
      </c>
    </row>
    <row r="636" spans="1:6" x14ac:dyDescent="0.25">
      <c r="A636" s="26" t="s">
        <v>1153</v>
      </c>
      <c r="B636" t="s">
        <v>101</v>
      </c>
      <c r="C636" t="s">
        <v>408</v>
      </c>
      <c r="D636" t="s">
        <v>172</v>
      </c>
      <c r="E636">
        <v>19322.72155688623</v>
      </c>
      <c r="F636">
        <v>60</v>
      </c>
    </row>
    <row r="637" spans="1:6" x14ac:dyDescent="0.25">
      <c r="A637" s="26" t="s">
        <v>1154</v>
      </c>
      <c r="B637" t="s">
        <v>101</v>
      </c>
      <c r="C637" t="s">
        <v>408</v>
      </c>
      <c r="D637" t="s">
        <v>172</v>
      </c>
      <c r="E637">
        <v>19322.72155688623</v>
      </c>
      <c r="F637">
        <v>60</v>
      </c>
    </row>
    <row r="638" spans="1:6" x14ac:dyDescent="0.25">
      <c r="A638" s="26" t="s">
        <v>1155</v>
      </c>
      <c r="B638" t="s">
        <v>101</v>
      </c>
      <c r="C638" t="s">
        <v>408</v>
      </c>
      <c r="D638" t="s">
        <v>172</v>
      </c>
      <c r="E638">
        <v>19322.72155688623</v>
      </c>
      <c r="F638">
        <v>60</v>
      </c>
    </row>
    <row r="639" spans="1:6" x14ac:dyDescent="0.25">
      <c r="A639" s="26" t="s">
        <v>1156</v>
      </c>
      <c r="B639" t="s">
        <v>101</v>
      </c>
      <c r="C639" t="s">
        <v>408</v>
      </c>
      <c r="D639" t="s">
        <v>172</v>
      </c>
      <c r="E639">
        <v>19322.72155688623</v>
      </c>
      <c r="F639">
        <v>60</v>
      </c>
    </row>
    <row r="640" spans="1:6" x14ac:dyDescent="0.25">
      <c r="A640" s="26" t="s">
        <v>1157</v>
      </c>
      <c r="B640" t="s">
        <v>101</v>
      </c>
      <c r="C640" t="s">
        <v>408</v>
      </c>
      <c r="D640" t="s">
        <v>172</v>
      </c>
      <c r="E640">
        <v>19322.72155688623</v>
      </c>
      <c r="F640">
        <v>60</v>
      </c>
    </row>
    <row r="641" spans="1:6" x14ac:dyDescent="0.25">
      <c r="A641" s="26" t="s">
        <v>1158</v>
      </c>
      <c r="B641" t="s">
        <v>101</v>
      </c>
      <c r="C641" t="s">
        <v>408</v>
      </c>
      <c r="D641" t="s">
        <v>172</v>
      </c>
      <c r="E641">
        <v>19322.72155688623</v>
      </c>
      <c r="F641">
        <v>60</v>
      </c>
    </row>
    <row r="642" spans="1:6" x14ac:dyDescent="0.25">
      <c r="A642" s="26" t="s">
        <v>1159</v>
      </c>
      <c r="B642" t="s">
        <v>101</v>
      </c>
      <c r="C642" t="s">
        <v>408</v>
      </c>
      <c r="D642" t="s">
        <v>172</v>
      </c>
      <c r="E642">
        <v>19322.72155688623</v>
      </c>
      <c r="F642">
        <v>60</v>
      </c>
    </row>
    <row r="643" spans="1:6" x14ac:dyDescent="0.25">
      <c r="A643" s="26" t="s">
        <v>1160</v>
      </c>
      <c r="B643" t="s">
        <v>101</v>
      </c>
      <c r="C643" t="s">
        <v>408</v>
      </c>
      <c r="D643" t="s">
        <v>172</v>
      </c>
      <c r="E643">
        <v>19322.72155688623</v>
      </c>
      <c r="F643">
        <v>60</v>
      </c>
    </row>
    <row r="644" spans="1:6" x14ac:dyDescent="0.25">
      <c r="A644" s="26" t="s">
        <v>1161</v>
      </c>
      <c r="B644" t="s">
        <v>101</v>
      </c>
      <c r="C644" t="s">
        <v>408</v>
      </c>
      <c r="D644" t="s">
        <v>172</v>
      </c>
      <c r="E644">
        <v>19322.72155688623</v>
      </c>
      <c r="F644">
        <v>60</v>
      </c>
    </row>
    <row r="645" spans="1:6" x14ac:dyDescent="0.25">
      <c r="A645" s="26" t="s">
        <v>1162</v>
      </c>
      <c r="B645" t="s">
        <v>101</v>
      </c>
      <c r="C645" t="s">
        <v>408</v>
      </c>
      <c r="D645" t="s">
        <v>172</v>
      </c>
      <c r="E645">
        <v>19322.72155688623</v>
      </c>
      <c r="F645">
        <v>60</v>
      </c>
    </row>
    <row r="646" spans="1:6" x14ac:dyDescent="0.25">
      <c r="A646" s="26" t="s">
        <v>1163</v>
      </c>
      <c r="B646" t="s">
        <v>101</v>
      </c>
      <c r="C646" t="s">
        <v>408</v>
      </c>
      <c r="D646" t="s">
        <v>172</v>
      </c>
      <c r="E646">
        <v>19322.72155688623</v>
      </c>
      <c r="F646">
        <v>60</v>
      </c>
    </row>
    <row r="647" spans="1:6" x14ac:dyDescent="0.25">
      <c r="A647" s="26" t="s">
        <v>1164</v>
      </c>
      <c r="B647" t="s">
        <v>101</v>
      </c>
      <c r="C647" t="s">
        <v>408</v>
      </c>
      <c r="D647" t="s">
        <v>172</v>
      </c>
      <c r="E647">
        <v>19322.72155688623</v>
      </c>
      <c r="F647">
        <v>60</v>
      </c>
    </row>
    <row r="648" spans="1:6" x14ac:dyDescent="0.25">
      <c r="A648" s="26" t="s">
        <v>1165</v>
      </c>
      <c r="B648" t="s">
        <v>101</v>
      </c>
      <c r="C648" t="s">
        <v>408</v>
      </c>
      <c r="D648" t="s">
        <v>172</v>
      </c>
      <c r="E648">
        <v>19322.72155688623</v>
      </c>
      <c r="F648">
        <v>60</v>
      </c>
    </row>
    <row r="649" spans="1:6" x14ac:dyDescent="0.25">
      <c r="A649" s="26" t="s">
        <v>1166</v>
      </c>
      <c r="B649" t="s">
        <v>101</v>
      </c>
      <c r="C649" t="s">
        <v>408</v>
      </c>
      <c r="D649" t="s">
        <v>172</v>
      </c>
      <c r="E649">
        <v>19322.72155688623</v>
      </c>
      <c r="F649">
        <v>60</v>
      </c>
    </row>
    <row r="650" spans="1:6" x14ac:dyDescent="0.25">
      <c r="A650" s="26" t="s">
        <v>1167</v>
      </c>
      <c r="B650" t="s">
        <v>101</v>
      </c>
      <c r="C650" t="s">
        <v>408</v>
      </c>
      <c r="D650" t="s">
        <v>172</v>
      </c>
      <c r="E650">
        <v>19322.72155688623</v>
      </c>
      <c r="F650">
        <v>60</v>
      </c>
    </row>
    <row r="651" spans="1:6" x14ac:dyDescent="0.25">
      <c r="A651" s="26" t="s">
        <v>1168</v>
      </c>
      <c r="B651" t="s">
        <v>101</v>
      </c>
      <c r="C651" t="s">
        <v>408</v>
      </c>
      <c r="D651" t="s">
        <v>172</v>
      </c>
      <c r="E651">
        <v>19322.72155688623</v>
      </c>
      <c r="F651">
        <v>60</v>
      </c>
    </row>
    <row r="652" spans="1:6" x14ac:dyDescent="0.25">
      <c r="A652" s="26" t="s">
        <v>1169</v>
      </c>
      <c r="B652" t="s">
        <v>101</v>
      </c>
      <c r="C652" t="s">
        <v>408</v>
      </c>
      <c r="D652" t="s">
        <v>172</v>
      </c>
      <c r="E652">
        <v>19322.72155688623</v>
      </c>
      <c r="F652">
        <v>60</v>
      </c>
    </row>
    <row r="653" spans="1:6" x14ac:dyDescent="0.25">
      <c r="A653" s="26" t="s">
        <v>1170</v>
      </c>
      <c r="B653" t="s">
        <v>101</v>
      </c>
      <c r="C653" t="s">
        <v>408</v>
      </c>
      <c r="D653" t="s">
        <v>172</v>
      </c>
      <c r="E653">
        <v>19322.72155688623</v>
      </c>
      <c r="F653">
        <v>60</v>
      </c>
    </row>
    <row r="654" spans="1:6" x14ac:dyDescent="0.25">
      <c r="A654" s="26" t="s">
        <v>1171</v>
      </c>
      <c r="B654" t="s">
        <v>101</v>
      </c>
      <c r="C654" t="s">
        <v>408</v>
      </c>
      <c r="D654" t="s">
        <v>172</v>
      </c>
      <c r="E654">
        <v>19322.72155688623</v>
      </c>
      <c r="F654">
        <v>60</v>
      </c>
    </row>
    <row r="655" spans="1:6" x14ac:dyDescent="0.25">
      <c r="A655" s="26" t="s">
        <v>1172</v>
      </c>
      <c r="B655" t="s">
        <v>101</v>
      </c>
      <c r="C655" t="s">
        <v>408</v>
      </c>
      <c r="D655" t="s">
        <v>172</v>
      </c>
      <c r="E655">
        <v>19322.72155688623</v>
      </c>
      <c r="F655">
        <v>60</v>
      </c>
    </row>
    <row r="656" spans="1:6" x14ac:dyDescent="0.25">
      <c r="A656" s="26" t="s">
        <v>1173</v>
      </c>
      <c r="B656" t="s">
        <v>101</v>
      </c>
      <c r="C656" t="s">
        <v>408</v>
      </c>
      <c r="D656" t="s">
        <v>172</v>
      </c>
      <c r="E656">
        <v>19322.72155688623</v>
      </c>
      <c r="F656">
        <v>60</v>
      </c>
    </row>
    <row r="657" spans="1:6" x14ac:dyDescent="0.25">
      <c r="A657" s="26" t="s">
        <v>1174</v>
      </c>
      <c r="B657" t="s">
        <v>101</v>
      </c>
      <c r="C657" t="s">
        <v>408</v>
      </c>
      <c r="D657" t="s">
        <v>172</v>
      </c>
      <c r="E657">
        <v>19322.72155688623</v>
      </c>
      <c r="F657">
        <v>60</v>
      </c>
    </row>
    <row r="658" spans="1:6" x14ac:dyDescent="0.25">
      <c r="A658" s="26" t="s">
        <v>1175</v>
      </c>
      <c r="B658" t="s">
        <v>101</v>
      </c>
      <c r="C658" t="s">
        <v>408</v>
      </c>
      <c r="D658" t="s">
        <v>172</v>
      </c>
      <c r="E658">
        <v>19322.72155688623</v>
      </c>
      <c r="F658">
        <v>60</v>
      </c>
    </row>
    <row r="659" spans="1:6" x14ac:dyDescent="0.25">
      <c r="A659" s="26" t="s">
        <v>1176</v>
      </c>
      <c r="B659" t="s">
        <v>101</v>
      </c>
      <c r="C659" t="s">
        <v>408</v>
      </c>
      <c r="D659" t="s">
        <v>172</v>
      </c>
      <c r="E659">
        <v>19322.72155688623</v>
      </c>
      <c r="F659">
        <v>60</v>
      </c>
    </row>
    <row r="660" spans="1:6" x14ac:dyDescent="0.25">
      <c r="A660" s="26" t="s">
        <v>1177</v>
      </c>
      <c r="B660" t="s">
        <v>101</v>
      </c>
      <c r="C660" t="s">
        <v>408</v>
      </c>
      <c r="D660" t="s">
        <v>172</v>
      </c>
      <c r="E660">
        <v>19322.72155688623</v>
      </c>
      <c r="F660">
        <v>60</v>
      </c>
    </row>
    <row r="661" spans="1:6" x14ac:dyDescent="0.25">
      <c r="A661" s="26" t="s">
        <v>1178</v>
      </c>
      <c r="B661" t="s">
        <v>101</v>
      </c>
      <c r="C661" t="s">
        <v>408</v>
      </c>
      <c r="D661" t="s">
        <v>172</v>
      </c>
      <c r="E661">
        <v>19322.72155688623</v>
      </c>
      <c r="F661">
        <v>60</v>
      </c>
    </row>
    <row r="662" spans="1:6" x14ac:dyDescent="0.25">
      <c r="A662" s="26" t="s">
        <v>1179</v>
      </c>
      <c r="B662" t="s">
        <v>101</v>
      </c>
      <c r="C662" t="s">
        <v>408</v>
      </c>
      <c r="D662" t="s">
        <v>172</v>
      </c>
      <c r="E662">
        <v>24104.181137724554</v>
      </c>
      <c r="F662">
        <v>60</v>
      </c>
    </row>
    <row r="663" spans="1:6" x14ac:dyDescent="0.25">
      <c r="A663" s="26" t="s">
        <v>1180</v>
      </c>
      <c r="B663" t="s">
        <v>101</v>
      </c>
      <c r="C663" t="s">
        <v>408</v>
      </c>
      <c r="D663" t="s">
        <v>172</v>
      </c>
      <c r="E663">
        <v>24104.181137724554</v>
      </c>
      <c r="F663">
        <v>60</v>
      </c>
    </row>
    <row r="664" spans="1:6" x14ac:dyDescent="0.25">
      <c r="A664" s="26" t="s">
        <v>1181</v>
      </c>
      <c r="B664" t="s">
        <v>101</v>
      </c>
      <c r="C664" t="s">
        <v>408</v>
      </c>
      <c r="D664" t="s">
        <v>172</v>
      </c>
      <c r="E664">
        <v>24104.181137724554</v>
      </c>
      <c r="F664">
        <v>60</v>
      </c>
    </row>
    <row r="665" spans="1:6" x14ac:dyDescent="0.25">
      <c r="A665" s="26" t="s">
        <v>1182</v>
      </c>
      <c r="B665" t="s">
        <v>101</v>
      </c>
      <c r="C665" t="s">
        <v>408</v>
      </c>
      <c r="D665" t="s">
        <v>172</v>
      </c>
      <c r="E665">
        <v>24104.181137724554</v>
      </c>
      <c r="F665">
        <v>60</v>
      </c>
    </row>
    <row r="666" spans="1:6" x14ac:dyDescent="0.25">
      <c r="A666" s="26" t="s">
        <v>1183</v>
      </c>
      <c r="B666" t="s">
        <v>101</v>
      </c>
      <c r="C666" t="s">
        <v>408</v>
      </c>
      <c r="D666" t="s">
        <v>172</v>
      </c>
      <c r="E666">
        <v>24104.181137724554</v>
      </c>
      <c r="F666">
        <v>60</v>
      </c>
    </row>
    <row r="667" spans="1:6" x14ac:dyDescent="0.25">
      <c r="A667" s="26" t="s">
        <v>1184</v>
      </c>
      <c r="B667" t="s">
        <v>101</v>
      </c>
      <c r="C667" t="s">
        <v>408</v>
      </c>
      <c r="D667" t="s">
        <v>172</v>
      </c>
      <c r="E667">
        <v>24104.181137724554</v>
      </c>
      <c r="F667">
        <v>60</v>
      </c>
    </row>
    <row r="668" spans="1:6" x14ac:dyDescent="0.25">
      <c r="A668" s="26" t="s">
        <v>1185</v>
      </c>
      <c r="B668" t="s">
        <v>101</v>
      </c>
      <c r="C668" t="s">
        <v>408</v>
      </c>
      <c r="D668" t="s">
        <v>172</v>
      </c>
      <c r="E668">
        <v>24104.181137724554</v>
      </c>
      <c r="F668">
        <v>60</v>
      </c>
    </row>
    <row r="669" spans="1:6" x14ac:dyDescent="0.25">
      <c r="A669" s="26" t="s">
        <v>1186</v>
      </c>
      <c r="B669" t="s">
        <v>101</v>
      </c>
      <c r="C669" t="s">
        <v>408</v>
      </c>
      <c r="D669" t="s">
        <v>172</v>
      </c>
      <c r="E669">
        <v>24104.181137724554</v>
      </c>
      <c r="F669">
        <v>60</v>
      </c>
    </row>
    <row r="670" spans="1:6" x14ac:dyDescent="0.25">
      <c r="A670" s="26" t="s">
        <v>1187</v>
      </c>
      <c r="B670" t="s">
        <v>101</v>
      </c>
      <c r="C670" t="s">
        <v>408</v>
      </c>
      <c r="D670" t="s">
        <v>172</v>
      </c>
      <c r="E670">
        <v>24104.181137724554</v>
      </c>
      <c r="F670">
        <v>60</v>
      </c>
    </row>
    <row r="671" spans="1:6" x14ac:dyDescent="0.25">
      <c r="A671" s="26" t="s">
        <v>1188</v>
      </c>
      <c r="B671" t="s">
        <v>101</v>
      </c>
      <c r="C671" t="s">
        <v>408</v>
      </c>
      <c r="D671" t="s">
        <v>172</v>
      </c>
      <c r="E671">
        <v>24104.181137724554</v>
      </c>
      <c r="F671">
        <v>60</v>
      </c>
    </row>
    <row r="672" spans="1:6" x14ac:dyDescent="0.25">
      <c r="A672" s="26" t="s">
        <v>1189</v>
      </c>
      <c r="B672" t="s">
        <v>101</v>
      </c>
      <c r="C672" t="s">
        <v>408</v>
      </c>
      <c r="D672" t="s">
        <v>172</v>
      </c>
      <c r="E672">
        <v>24104.181137724554</v>
      </c>
      <c r="F672">
        <v>60</v>
      </c>
    </row>
    <row r="673" spans="1:6" x14ac:dyDescent="0.25">
      <c r="A673" s="26" t="s">
        <v>1190</v>
      </c>
      <c r="B673" t="s">
        <v>101</v>
      </c>
      <c r="C673" t="s">
        <v>408</v>
      </c>
      <c r="D673" t="s">
        <v>172</v>
      </c>
      <c r="E673">
        <v>24104.181137724554</v>
      </c>
      <c r="F673">
        <v>60</v>
      </c>
    </row>
    <row r="674" spans="1:6" x14ac:dyDescent="0.25">
      <c r="A674" s="26" t="s">
        <v>1191</v>
      </c>
      <c r="B674" t="s">
        <v>101</v>
      </c>
      <c r="C674" t="s">
        <v>408</v>
      </c>
      <c r="D674" t="s">
        <v>172</v>
      </c>
      <c r="E674">
        <v>24104.181137724554</v>
      </c>
      <c r="F674">
        <v>60</v>
      </c>
    </row>
    <row r="675" spans="1:6" x14ac:dyDescent="0.25">
      <c r="A675" s="26" t="s">
        <v>1192</v>
      </c>
      <c r="B675" t="s">
        <v>101</v>
      </c>
      <c r="C675" t="s">
        <v>408</v>
      </c>
      <c r="D675" t="s">
        <v>172</v>
      </c>
      <c r="E675">
        <v>24104.181137724554</v>
      </c>
      <c r="F675">
        <v>60</v>
      </c>
    </row>
    <row r="676" spans="1:6" x14ac:dyDescent="0.25">
      <c r="A676" s="26" t="s">
        <v>1193</v>
      </c>
      <c r="B676" t="s">
        <v>101</v>
      </c>
      <c r="C676" t="s">
        <v>408</v>
      </c>
      <c r="D676" t="s">
        <v>172</v>
      </c>
      <c r="E676">
        <v>24104.181137724554</v>
      </c>
      <c r="F676">
        <v>60</v>
      </c>
    </row>
    <row r="677" spans="1:6" x14ac:dyDescent="0.25">
      <c r="A677" s="26" t="s">
        <v>1194</v>
      </c>
      <c r="B677" t="s">
        <v>101</v>
      </c>
      <c r="C677" t="s">
        <v>408</v>
      </c>
      <c r="D677" t="s">
        <v>172</v>
      </c>
      <c r="E677">
        <v>24104.181137724554</v>
      </c>
      <c r="F677">
        <v>60</v>
      </c>
    </row>
    <row r="678" spans="1:6" x14ac:dyDescent="0.25">
      <c r="A678" s="26" t="s">
        <v>1195</v>
      </c>
      <c r="B678" t="s">
        <v>101</v>
      </c>
      <c r="C678" t="s">
        <v>408</v>
      </c>
      <c r="D678" t="s">
        <v>172</v>
      </c>
      <c r="E678">
        <v>24104.181137724554</v>
      </c>
      <c r="F678">
        <v>60</v>
      </c>
    </row>
    <row r="679" spans="1:6" x14ac:dyDescent="0.25">
      <c r="A679" s="26" t="s">
        <v>1196</v>
      </c>
      <c r="B679" t="s">
        <v>101</v>
      </c>
      <c r="C679" t="s">
        <v>408</v>
      </c>
      <c r="D679" t="s">
        <v>172</v>
      </c>
      <c r="E679">
        <v>24104.181137724554</v>
      </c>
      <c r="F679">
        <v>60</v>
      </c>
    </row>
    <row r="680" spans="1:6" x14ac:dyDescent="0.25">
      <c r="A680" s="26" t="s">
        <v>1197</v>
      </c>
      <c r="B680" t="s">
        <v>101</v>
      </c>
      <c r="C680" t="s">
        <v>408</v>
      </c>
      <c r="D680" t="s">
        <v>172</v>
      </c>
      <c r="E680">
        <v>24104.181137724554</v>
      </c>
      <c r="F680">
        <v>60</v>
      </c>
    </row>
    <row r="681" spans="1:6" x14ac:dyDescent="0.25">
      <c r="A681" s="26" t="s">
        <v>1198</v>
      </c>
      <c r="B681" t="s">
        <v>101</v>
      </c>
      <c r="C681" t="s">
        <v>408</v>
      </c>
      <c r="D681" t="s">
        <v>172</v>
      </c>
      <c r="E681">
        <v>24104.181137724554</v>
      </c>
      <c r="F681">
        <v>60</v>
      </c>
    </row>
    <row r="682" spans="1:6" x14ac:dyDescent="0.25">
      <c r="A682" s="26" t="s">
        <v>1199</v>
      </c>
      <c r="B682" t="s">
        <v>101</v>
      </c>
      <c r="C682" t="s">
        <v>408</v>
      </c>
      <c r="D682" t="s">
        <v>172</v>
      </c>
      <c r="E682">
        <v>24104.181137724554</v>
      </c>
      <c r="F682">
        <v>60</v>
      </c>
    </row>
    <row r="683" spans="1:6" x14ac:dyDescent="0.25">
      <c r="A683" s="26" t="s">
        <v>1200</v>
      </c>
      <c r="B683" t="s">
        <v>101</v>
      </c>
      <c r="C683" t="s">
        <v>408</v>
      </c>
      <c r="D683" t="s">
        <v>172</v>
      </c>
      <c r="E683">
        <v>24104.181137724554</v>
      </c>
      <c r="F683">
        <v>60</v>
      </c>
    </row>
    <row r="684" spans="1:6" x14ac:dyDescent="0.25">
      <c r="A684" s="26" t="s">
        <v>1201</v>
      </c>
      <c r="B684" t="s">
        <v>101</v>
      </c>
      <c r="C684" t="s">
        <v>408</v>
      </c>
      <c r="D684" t="s">
        <v>172</v>
      </c>
      <c r="E684">
        <v>24104.181137724554</v>
      </c>
      <c r="F684">
        <v>60</v>
      </c>
    </row>
    <row r="685" spans="1:6" x14ac:dyDescent="0.25">
      <c r="A685" s="26" t="s">
        <v>1202</v>
      </c>
      <c r="B685" t="s">
        <v>101</v>
      </c>
      <c r="C685" t="s">
        <v>408</v>
      </c>
      <c r="D685" t="s">
        <v>172</v>
      </c>
      <c r="E685">
        <v>24104.181137724554</v>
      </c>
      <c r="F685">
        <v>60</v>
      </c>
    </row>
    <row r="686" spans="1:6" x14ac:dyDescent="0.25">
      <c r="A686" s="26" t="s">
        <v>1203</v>
      </c>
      <c r="B686" t="s">
        <v>101</v>
      </c>
      <c r="C686" t="s">
        <v>408</v>
      </c>
      <c r="D686" t="s">
        <v>172</v>
      </c>
      <c r="E686">
        <v>24104.181137724554</v>
      </c>
      <c r="F686">
        <v>60</v>
      </c>
    </row>
    <row r="687" spans="1:6" x14ac:dyDescent="0.25">
      <c r="A687" s="26" t="s">
        <v>1204</v>
      </c>
      <c r="B687" t="s">
        <v>101</v>
      </c>
      <c r="C687" t="s">
        <v>408</v>
      </c>
      <c r="D687" t="s">
        <v>172</v>
      </c>
      <c r="E687">
        <v>24104.181137724554</v>
      </c>
      <c r="F687">
        <v>60</v>
      </c>
    </row>
    <row r="688" spans="1:6" x14ac:dyDescent="0.25">
      <c r="A688" s="26" t="s">
        <v>1205</v>
      </c>
      <c r="B688" t="s">
        <v>101</v>
      </c>
      <c r="C688" t="s">
        <v>408</v>
      </c>
      <c r="D688" t="s">
        <v>172</v>
      </c>
      <c r="E688">
        <v>24104.181137724554</v>
      </c>
      <c r="F688">
        <v>60</v>
      </c>
    </row>
    <row r="689" spans="1:6" x14ac:dyDescent="0.25">
      <c r="A689" s="26" t="s">
        <v>1206</v>
      </c>
      <c r="B689" t="s">
        <v>101</v>
      </c>
      <c r="C689" t="s">
        <v>408</v>
      </c>
      <c r="D689" t="s">
        <v>172</v>
      </c>
      <c r="E689">
        <v>24104.181137724554</v>
      </c>
      <c r="F689">
        <v>60</v>
      </c>
    </row>
    <row r="690" spans="1:6" x14ac:dyDescent="0.25">
      <c r="A690" s="26" t="s">
        <v>1207</v>
      </c>
      <c r="B690" t="s">
        <v>101</v>
      </c>
      <c r="C690" t="s">
        <v>408</v>
      </c>
      <c r="D690" t="s">
        <v>172</v>
      </c>
      <c r="E690">
        <v>24104.181137724554</v>
      </c>
      <c r="F690">
        <v>60</v>
      </c>
    </row>
    <row r="691" spans="1:6" x14ac:dyDescent="0.25">
      <c r="A691" s="26" t="s">
        <v>1208</v>
      </c>
      <c r="B691" t="s">
        <v>101</v>
      </c>
      <c r="C691" t="s">
        <v>408</v>
      </c>
      <c r="D691" t="s">
        <v>172</v>
      </c>
      <c r="E691">
        <v>24104.181137724554</v>
      </c>
      <c r="F691">
        <v>60</v>
      </c>
    </row>
    <row r="692" spans="1:6" x14ac:dyDescent="0.25">
      <c r="A692" s="26" t="s">
        <v>1209</v>
      </c>
      <c r="B692" t="s">
        <v>101</v>
      </c>
      <c r="C692" t="s">
        <v>408</v>
      </c>
      <c r="D692" t="s">
        <v>172</v>
      </c>
      <c r="E692">
        <v>24399.926646706586</v>
      </c>
      <c r="F692">
        <v>60</v>
      </c>
    </row>
    <row r="693" spans="1:6" x14ac:dyDescent="0.25">
      <c r="A693" s="26" t="s">
        <v>1210</v>
      </c>
      <c r="B693" t="s">
        <v>101</v>
      </c>
      <c r="C693" t="s">
        <v>408</v>
      </c>
      <c r="D693" t="s">
        <v>172</v>
      </c>
      <c r="E693">
        <v>24399.926646706586</v>
      </c>
      <c r="F693">
        <v>60</v>
      </c>
    </row>
    <row r="694" spans="1:6" x14ac:dyDescent="0.25">
      <c r="A694" s="26" t="s">
        <v>1211</v>
      </c>
      <c r="B694" t="s">
        <v>101</v>
      </c>
      <c r="C694" t="s">
        <v>408</v>
      </c>
      <c r="D694" t="s">
        <v>172</v>
      </c>
      <c r="E694">
        <v>24399.926646706586</v>
      </c>
      <c r="F694">
        <v>60</v>
      </c>
    </row>
    <row r="695" spans="1:6" x14ac:dyDescent="0.25">
      <c r="A695" s="26" t="s">
        <v>1212</v>
      </c>
      <c r="B695" t="s">
        <v>101</v>
      </c>
      <c r="C695" t="s">
        <v>408</v>
      </c>
      <c r="D695" t="s">
        <v>172</v>
      </c>
      <c r="E695">
        <v>24399.926646706586</v>
      </c>
      <c r="F695">
        <v>60</v>
      </c>
    </row>
    <row r="696" spans="1:6" x14ac:dyDescent="0.25">
      <c r="A696" s="26" t="s">
        <v>1213</v>
      </c>
      <c r="B696" t="s">
        <v>101</v>
      </c>
      <c r="C696" t="s">
        <v>408</v>
      </c>
      <c r="D696" t="s">
        <v>172</v>
      </c>
      <c r="E696">
        <v>24399.926646706586</v>
      </c>
      <c r="F696">
        <v>60</v>
      </c>
    </row>
    <row r="697" spans="1:6" x14ac:dyDescent="0.25">
      <c r="A697" s="26" t="s">
        <v>1214</v>
      </c>
      <c r="B697" t="s">
        <v>101</v>
      </c>
      <c r="C697" t="s">
        <v>408</v>
      </c>
      <c r="D697" t="s">
        <v>172</v>
      </c>
      <c r="E697">
        <v>24399.926646706586</v>
      </c>
      <c r="F697">
        <v>60</v>
      </c>
    </row>
    <row r="698" spans="1:6" x14ac:dyDescent="0.25">
      <c r="A698" s="26" t="s">
        <v>1215</v>
      </c>
      <c r="B698" t="s">
        <v>101</v>
      </c>
      <c r="C698" t="s">
        <v>408</v>
      </c>
      <c r="D698" t="s">
        <v>172</v>
      </c>
      <c r="E698">
        <v>24399.926646706586</v>
      </c>
      <c r="F698">
        <v>60</v>
      </c>
    </row>
    <row r="699" spans="1:6" x14ac:dyDescent="0.25">
      <c r="A699" s="26" t="s">
        <v>1216</v>
      </c>
      <c r="B699" t="s">
        <v>101</v>
      </c>
      <c r="C699" t="s">
        <v>408</v>
      </c>
      <c r="D699" t="s">
        <v>172</v>
      </c>
      <c r="E699">
        <v>24399.926646706586</v>
      </c>
      <c r="F699">
        <v>60</v>
      </c>
    </row>
    <row r="700" spans="1:6" x14ac:dyDescent="0.25">
      <c r="A700" s="26" t="s">
        <v>1217</v>
      </c>
      <c r="B700" t="s">
        <v>101</v>
      </c>
      <c r="C700" t="s">
        <v>408</v>
      </c>
      <c r="D700" t="s">
        <v>172</v>
      </c>
      <c r="E700">
        <v>24399.926646706586</v>
      </c>
      <c r="F700">
        <v>60</v>
      </c>
    </row>
    <row r="701" spans="1:6" x14ac:dyDescent="0.25">
      <c r="A701" s="26" t="s">
        <v>1218</v>
      </c>
      <c r="B701" t="s">
        <v>101</v>
      </c>
      <c r="C701" t="s">
        <v>408</v>
      </c>
      <c r="D701" t="s">
        <v>172</v>
      </c>
      <c r="E701">
        <v>24399.926646706586</v>
      </c>
      <c r="F701">
        <v>60</v>
      </c>
    </row>
    <row r="702" spans="1:6" x14ac:dyDescent="0.25">
      <c r="A702" s="26" t="s">
        <v>1219</v>
      </c>
      <c r="B702" t="s">
        <v>101</v>
      </c>
      <c r="C702" t="s">
        <v>408</v>
      </c>
      <c r="D702" t="s">
        <v>172</v>
      </c>
      <c r="E702">
        <v>24399.926646706586</v>
      </c>
      <c r="F702">
        <v>60</v>
      </c>
    </row>
    <row r="703" spans="1:6" x14ac:dyDescent="0.25">
      <c r="A703" s="26" t="s">
        <v>1220</v>
      </c>
      <c r="B703" t="s">
        <v>101</v>
      </c>
      <c r="C703" t="s">
        <v>408</v>
      </c>
      <c r="D703" t="s">
        <v>172</v>
      </c>
      <c r="E703">
        <v>24399.926646706586</v>
      </c>
      <c r="F703">
        <v>60</v>
      </c>
    </row>
    <row r="704" spans="1:6" x14ac:dyDescent="0.25">
      <c r="A704" s="26" t="s">
        <v>1221</v>
      </c>
      <c r="B704" t="s">
        <v>101</v>
      </c>
      <c r="C704" t="s">
        <v>408</v>
      </c>
      <c r="D704" t="s">
        <v>172</v>
      </c>
      <c r="E704">
        <v>24399.926646706586</v>
      </c>
      <c r="F704">
        <v>60</v>
      </c>
    </row>
    <row r="705" spans="1:6" x14ac:dyDescent="0.25">
      <c r="A705" s="26" t="s">
        <v>1222</v>
      </c>
      <c r="B705" t="s">
        <v>101</v>
      </c>
      <c r="C705" t="s">
        <v>408</v>
      </c>
      <c r="D705" t="s">
        <v>172</v>
      </c>
      <c r="E705">
        <v>24399.926646706586</v>
      </c>
      <c r="F705">
        <v>60</v>
      </c>
    </row>
    <row r="706" spans="1:6" x14ac:dyDescent="0.25">
      <c r="A706" s="26" t="s">
        <v>1223</v>
      </c>
      <c r="B706" t="s">
        <v>101</v>
      </c>
      <c r="C706" t="s">
        <v>408</v>
      </c>
      <c r="D706" t="s">
        <v>172</v>
      </c>
      <c r="E706">
        <v>24399.926646706586</v>
      </c>
      <c r="F706">
        <v>60</v>
      </c>
    </row>
    <row r="707" spans="1:6" x14ac:dyDescent="0.25">
      <c r="A707" s="26" t="s">
        <v>1224</v>
      </c>
      <c r="B707" t="s">
        <v>101</v>
      </c>
      <c r="C707" t="s">
        <v>408</v>
      </c>
      <c r="D707" t="s">
        <v>172</v>
      </c>
      <c r="E707">
        <v>24399.926646706586</v>
      </c>
      <c r="F707">
        <v>60</v>
      </c>
    </row>
    <row r="708" spans="1:6" x14ac:dyDescent="0.25">
      <c r="A708" s="26" t="s">
        <v>1225</v>
      </c>
      <c r="B708" t="s">
        <v>101</v>
      </c>
      <c r="C708" t="s">
        <v>408</v>
      </c>
      <c r="D708" t="s">
        <v>172</v>
      </c>
      <c r="E708">
        <v>24399.926646706586</v>
      </c>
      <c r="F708">
        <v>60</v>
      </c>
    </row>
    <row r="709" spans="1:6" x14ac:dyDescent="0.25">
      <c r="A709" s="26" t="s">
        <v>1226</v>
      </c>
      <c r="B709" t="s">
        <v>101</v>
      </c>
      <c r="C709" t="s">
        <v>408</v>
      </c>
      <c r="D709" t="s">
        <v>172</v>
      </c>
      <c r="E709">
        <v>24399.926646706586</v>
      </c>
      <c r="F709">
        <v>60</v>
      </c>
    </row>
    <row r="710" spans="1:6" x14ac:dyDescent="0.25">
      <c r="A710" s="26" t="s">
        <v>1227</v>
      </c>
      <c r="B710" t="s">
        <v>101</v>
      </c>
      <c r="C710" t="s">
        <v>408</v>
      </c>
      <c r="D710" t="s">
        <v>172</v>
      </c>
      <c r="E710">
        <v>24399.926646706586</v>
      </c>
      <c r="F710">
        <v>60</v>
      </c>
    </row>
    <row r="711" spans="1:6" x14ac:dyDescent="0.25">
      <c r="A711" s="26" t="s">
        <v>1228</v>
      </c>
      <c r="B711" t="s">
        <v>101</v>
      </c>
      <c r="C711" t="s">
        <v>408</v>
      </c>
      <c r="D711" t="s">
        <v>172</v>
      </c>
      <c r="E711">
        <v>24399.926646706586</v>
      </c>
      <c r="F711">
        <v>60</v>
      </c>
    </row>
    <row r="712" spans="1:6" x14ac:dyDescent="0.25">
      <c r="A712" s="26" t="s">
        <v>1229</v>
      </c>
      <c r="B712" t="s">
        <v>101</v>
      </c>
      <c r="C712" t="s">
        <v>408</v>
      </c>
      <c r="D712" t="s">
        <v>172</v>
      </c>
      <c r="E712">
        <v>24399.926646706586</v>
      </c>
      <c r="F712">
        <v>60</v>
      </c>
    </row>
    <row r="713" spans="1:6" x14ac:dyDescent="0.25">
      <c r="A713" s="26" t="s">
        <v>1230</v>
      </c>
      <c r="B713" t="s">
        <v>101</v>
      </c>
      <c r="C713" t="s">
        <v>408</v>
      </c>
      <c r="D713" t="s">
        <v>172</v>
      </c>
      <c r="E713">
        <v>24399.926646706586</v>
      </c>
      <c r="F713">
        <v>60</v>
      </c>
    </row>
    <row r="714" spans="1:6" x14ac:dyDescent="0.25">
      <c r="A714" s="26" t="s">
        <v>1231</v>
      </c>
      <c r="B714" t="s">
        <v>101</v>
      </c>
      <c r="C714" t="s">
        <v>408</v>
      </c>
      <c r="D714" t="s">
        <v>172</v>
      </c>
      <c r="E714">
        <v>24399.926646706586</v>
      </c>
      <c r="F714">
        <v>60</v>
      </c>
    </row>
    <row r="715" spans="1:6" x14ac:dyDescent="0.25">
      <c r="A715" s="26" t="s">
        <v>1232</v>
      </c>
      <c r="B715" t="s">
        <v>101</v>
      </c>
      <c r="C715" t="s">
        <v>408</v>
      </c>
      <c r="D715" t="s">
        <v>172</v>
      </c>
      <c r="E715">
        <v>24399.926646706586</v>
      </c>
      <c r="F715">
        <v>60</v>
      </c>
    </row>
    <row r="716" spans="1:6" x14ac:dyDescent="0.25">
      <c r="A716" s="26" t="s">
        <v>1233</v>
      </c>
      <c r="B716" t="s">
        <v>101</v>
      </c>
      <c r="C716" t="s">
        <v>408</v>
      </c>
      <c r="D716" t="s">
        <v>172</v>
      </c>
      <c r="E716">
        <v>24399.926646706586</v>
      </c>
      <c r="F716">
        <v>60</v>
      </c>
    </row>
    <row r="717" spans="1:6" x14ac:dyDescent="0.25">
      <c r="A717" s="26" t="s">
        <v>1234</v>
      </c>
      <c r="B717" t="s">
        <v>101</v>
      </c>
      <c r="C717" t="s">
        <v>408</v>
      </c>
      <c r="D717" t="s">
        <v>172</v>
      </c>
      <c r="E717">
        <v>24399.926646706586</v>
      </c>
      <c r="F717">
        <v>60</v>
      </c>
    </row>
    <row r="718" spans="1:6" x14ac:dyDescent="0.25">
      <c r="A718" s="26" t="s">
        <v>1235</v>
      </c>
      <c r="B718" t="s">
        <v>101</v>
      </c>
      <c r="C718" t="s">
        <v>408</v>
      </c>
      <c r="D718" t="s">
        <v>172</v>
      </c>
      <c r="E718">
        <v>24399.926646706586</v>
      </c>
      <c r="F718">
        <v>60</v>
      </c>
    </row>
    <row r="719" spans="1:6" x14ac:dyDescent="0.25">
      <c r="A719" s="26" t="s">
        <v>1236</v>
      </c>
      <c r="B719" t="s">
        <v>101</v>
      </c>
      <c r="C719" t="s">
        <v>408</v>
      </c>
      <c r="D719" t="s">
        <v>172</v>
      </c>
      <c r="E719">
        <v>24399.926646706586</v>
      </c>
      <c r="F719">
        <v>60</v>
      </c>
    </row>
    <row r="720" spans="1:6" x14ac:dyDescent="0.25">
      <c r="A720" s="26" t="s">
        <v>1237</v>
      </c>
      <c r="B720" t="s">
        <v>101</v>
      </c>
      <c r="C720" t="s">
        <v>408</v>
      </c>
      <c r="D720" t="s">
        <v>172</v>
      </c>
      <c r="E720">
        <v>24399.926646706586</v>
      </c>
      <c r="F720">
        <v>60</v>
      </c>
    </row>
    <row r="721" spans="1:8" x14ac:dyDescent="0.25">
      <c r="A721" s="26" t="s">
        <v>1238</v>
      </c>
      <c r="B721" t="s">
        <v>101</v>
      </c>
      <c r="C721" t="s">
        <v>408</v>
      </c>
      <c r="D721" t="s">
        <v>172</v>
      </c>
      <c r="E721">
        <v>24399.926646706586</v>
      </c>
      <c r="F721">
        <v>60</v>
      </c>
    </row>
    <row r="722" spans="1:8" x14ac:dyDescent="0.25">
      <c r="A722" s="26" t="s">
        <v>1239</v>
      </c>
      <c r="B722" t="s">
        <v>75</v>
      </c>
      <c r="C722" t="s">
        <v>175</v>
      </c>
      <c r="D722" t="s">
        <v>1419</v>
      </c>
      <c r="E722">
        <v>281728.54291417164</v>
      </c>
      <c r="F722">
        <v>30</v>
      </c>
      <c r="G722" t="s">
        <v>696</v>
      </c>
      <c r="H722">
        <v>1</v>
      </c>
    </row>
    <row r="723" spans="1:8" x14ac:dyDescent="0.25">
      <c r="A723" s="26" t="s">
        <v>1240</v>
      </c>
      <c r="B723" t="s">
        <v>75</v>
      </c>
      <c r="C723" t="s">
        <v>175</v>
      </c>
      <c r="D723" t="s">
        <v>1419</v>
      </c>
      <c r="E723">
        <v>281728.54291417164</v>
      </c>
      <c r="F723">
        <v>30</v>
      </c>
      <c r="G723" t="s">
        <v>696</v>
      </c>
      <c r="H723">
        <v>1</v>
      </c>
    </row>
    <row r="724" spans="1:8" x14ac:dyDescent="0.25">
      <c r="A724" s="26" t="s">
        <v>1241</v>
      </c>
      <c r="B724" t="s">
        <v>75</v>
      </c>
      <c r="C724" t="s">
        <v>175</v>
      </c>
      <c r="D724" t="s">
        <v>1419</v>
      </c>
      <c r="E724">
        <v>281728.54291417164</v>
      </c>
      <c r="F724">
        <v>30</v>
      </c>
      <c r="G724" t="s">
        <v>697</v>
      </c>
      <c r="H724">
        <v>1</v>
      </c>
    </row>
    <row r="725" spans="1:8" x14ac:dyDescent="0.25">
      <c r="A725" s="26" t="s">
        <v>1242</v>
      </c>
      <c r="B725" t="s">
        <v>75</v>
      </c>
      <c r="C725" t="s">
        <v>175</v>
      </c>
      <c r="D725" t="s">
        <v>1419</v>
      </c>
      <c r="E725">
        <v>281728.54291417164</v>
      </c>
      <c r="F725">
        <v>30</v>
      </c>
      <c r="G725" t="s">
        <v>696</v>
      </c>
      <c r="H725">
        <v>1</v>
      </c>
    </row>
    <row r="726" spans="1:8" x14ac:dyDescent="0.25">
      <c r="A726" s="26" t="s">
        <v>1243</v>
      </c>
      <c r="B726" t="s">
        <v>75</v>
      </c>
      <c r="C726" t="s">
        <v>175</v>
      </c>
      <c r="D726" t="s">
        <v>1419</v>
      </c>
      <c r="E726">
        <v>281728.54291417164</v>
      </c>
      <c r="F726">
        <v>30</v>
      </c>
      <c r="G726" t="s">
        <v>697</v>
      </c>
      <c r="H726">
        <v>1</v>
      </c>
    </row>
    <row r="727" spans="1:8" x14ac:dyDescent="0.25">
      <c r="A727" s="26" t="s">
        <v>1244</v>
      </c>
      <c r="B727" t="s">
        <v>75</v>
      </c>
      <c r="C727" t="s">
        <v>175</v>
      </c>
      <c r="D727" t="s">
        <v>1419</v>
      </c>
      <c r="E727">
        <v>281728.54291417164</v>
      </c>
      <c r="F727">
        <v>30</v>
      </c>
      <c r="G727" t="s">
        <v>130</v>
      </c>
      <c r="H727">
        <v>1</v>
      </c>
    </row>
    <row r="728" spans="1:8" x14ac:dyDescent="0.25">
      <c r="A728" s="26" t="s">
        <v>1245</v>
      </c>
      <c r="B728" t="s">
        <v>75</v>
      </c>
      <c r="C728" t="s">
        <v>175</v>
      </c>
      <c r="D728" t="s">
        <v>1419</v>
      </c>
      <c r="E728">
        <v>281728.54291417164</v>
      </c>
      <c r="F728">
        <v>30</v>
      </c>
      <c r="G728" t="s">
        <v>697</v>
      </c>
      <c r="H728">
        <v>1</v>
      </c>
    </row>
    <row r="729" spans="1:8" x14ac:dyDescent="0.25">
      <c r="A729" s="26" t="s">
        <v>1246</v>
      </c>
      <c r="B729" t="s">
        <v>75</v>
      </c>
      <c r="C729" t="s">
        <v>175</v>
      </c>
      <c r="D729" t="s">
        <v>1419</v>
      </c>
      <c r="E729">
        <v>281728.54291417164</v>
      </c>
      <c r="F729">
        <v>30</v>
      </c>
      <c r="G729" t="s">
        <v>130</v>
      </c>
      <c r="H729">
        <v>1</v>
      </c>
    </row>
    <row r="730" spans="1:8" x14ac:dyDescent="0.25">
      <c r="A730" s="26" t="s">
        <v>1247</v>
      </c>
      <c r="B730" t="s">
        <v>75</v>
      </c>
      <c r="C730" t="s">
        <v>175</v>
      </c>
      <c r="D730" t="s">
        <v>1419</v>
      </c>
      <c r="E730">
        <v>281728.54291417164</v>
      </c>
      <c r="F730">
        <v>30</v>
      </c>
      <c r="G730" t="s">
        <v>697</v>
      </c>
      <c r="H730">
        <v>3</v>
      </c>
    </row>
    <row r="731" spans="1:8" x14ac:dyDescent="0.25">
      <c r="A731" s="26" t="s">
        <v>1248</v>
      </c>
      <c r="B731" t="s">
        <v>75</v>
      </c>
      <c r="C731" t="s">
        <v>175</v>
      </c>
      <c r="D731" t="s">
        <v>1419</v>
      </c>
      <c r="E731">
        <v>281728.54291417164</v>
      </c>
      <c r="F731">
        <v>30</v>
      </c>
      <c r="G731" t="s">
        <v>697</v>
      </c>
      <c r="H731">
        <v>1</v>
      </c>
    </row>
    <row r="732" spans="1:8" x14ac:dyDescent="0.25">
      <c r="A732" s="26" t="s">
        <v>1249</v>
      </c>
      <c r="B732" t="s">
        <v>75</v>
      </c>
      <c r="C732" t="s">
        <v>175</v>
      </c>
      <c r="D732" t="s">
        <v>1419</v>
      </c>
      <c r="E732">
        <v>281728.54291417164</v>
      </c>
      <c r="F732">
        <v>30</v>
      </c>
      <c r="G732" t="s">
        <v>130</v>
      </c>
      <c r="H732">
        <v>3</v>
      </c>
    </row>
    <row r="733" spans="1:8" x14ac:dyDescent="0.25">
      <c r="A733" s="26" t="s">
        <v>1250</v>
      </c>
      <c r="B733" t="s">
        <v>75</v>
      </c>
      <c r="C733" t="s">
        <v>175</v>
      </c>
      <c r="D733" t="s">
        <v>1419</v>
      </c>
      <c r="E733">
        <v>281728.54291417164</v>
      </c>
      <c r="F733">
        <v>30</v>
      </c>
      <c r="G733" t="s">
        <v>130</v>
      </c>
      <c r="H733">
        <v>2</v>
      </c>
    </row>
    <row r="734" spans="1:8" x14ac:dyDescent="0.25">
      <c r="A734" s="26" t="s">
        <v>1251</v>
      </c>
      <c r="B734" t="s">
        <v>75</v>
      </c>
      <c r="C734" t="s">
        <v>175</v>
      </c>
      <c r="D734" t="s">
        <v>1419</v>
      </c>
      <c r="E734">
        <v>281728.54291417164</v>
      </c>
      <c r="F734">
        <v>30</v>
      </c>
      <c r="G734" t="s">
        <v>697</v>
      </c>
      <c r="H734">
        <v>1</v>
      </c>
    </row>
    <row r="735" spans="1:8" x14ac:dyDescent="0.25">
      <c r="A735" s="26" t="s">
        <v>1252</v>
      </c>
      <c r="B735" t="s">
        <v>75</v>
      </c>
      <c r="C735" t="s">
        <v>175</v>
      </c>
      <c r="D735" t="s">
        <v>1419</v>
      </c>
      <c r="E735">
        <v>281728.54291417164</v>
      </c>
      <c r="F735">
        <v>30</v>
      </c>
      <c r="G735" t="s">
        <v>130</v>
      </c>
      <c r="H735">
        <v>2</v>
      </c>
    </row>
    <row r="736" spans="1:8" x14ac:dyDescent="0.25">
      <c r="A736" s="26" t="s">
        <v>1253</v>
      </c>
      <c r="B736" t="s">
        <v>75</v>
      </c>
      <c r="C736" t="s">
        <v>175</v>
      </c>
      <c r="D736" t="s">
        <v>1419</v>
      </c>
      <c r="E736">
        <v>281728.54291417164</v>
      </c>
      <c r="F736">
        <v>30</v>
      </c>
      <c r="G736" t="s">
        <v>697</v>
      </c>
      <c r="H736">
        <v>2</v>
      </c>
    </row>
    <row r="737" spans="1:8" x14ac:dyDescent="0.25">
      <c r="A737" s="26" t="s">
        <v>1254</v>
      </c>
      <c r="B737" t="s">
        <v>75</v>
      </c>
      <c r="C737" t="s">
        <v>175</v>
      </c>
      <c r="D737" t="s">
        <v>1419</v>
      </c>
      <c r="E737">
        <v>281728.54291417164</v>
      </c>
      <c r="F737">
        <v>30</v>
      </c>
      <c r="G737" t="s">
        <v>696</v>
      </c>
      <c r="H737">
        <v>2</v>
      </c>
    </row>
    <row r="738" spans="1:8" x14ac:dyDescent="0.25">
      <c r="A738" s="26" t="s">
        <v>1255</v>
      </c>
      <c r="B738" t="s">
        <v>75</v>
      </c>
      <c r="C738" t="s">
        <v>175</v>
      </c>
      <c r="D738" t="s">
        <v>1419</v>
      </c>
      <c r="E738">
        <v>281728.54291417164</v>
      </c>
      <c r="F738">
        <v>30</v>
      </c>
      <c r="G738" t="s">
        <v>130</v>
      </c>
      <c r="H738">
        <v>1</v>
      </c>
    </row>
    <row r="739" spans="1:8" x14ac:dyDescent="0.25">
      <c r="A739" s="26" t="s">
        <v>1256</v>
      </c>
      <c r="B739" t="s">
        <v>75</v>
      </c>
      <c r="C739" t="s">
        <v>175</v>
      </c>
      <c r="D739" t="s">
        <v>1419</v>
      </c>
      <c r="E739">
        <v>281728.54291417164</v>
      </c>
      <c r="F739">
        <v>30</v>
      </c>
      <c r="G739" t="s">
        <v>697</v>
      </c>
      <c r="H739">
        <v>1</v>
      </c>
    </row>
    <row r="740" spans="1:8" x14ac:dyDescent="0.25">
      <c r="A740" s="26" t="s">
        <v>1257</v>
      </c>
      <c r="B740" t="s">
        <v>75</v>
      </c>
      <c r="C740" t="s">
        <v>175</v>
      </c>
      <c r="D740" t="s">
        <v>1419</v>
      </c>
      <c r="E740">
        <v>281728.54291417164</v>
      </c>
      <c r="F740">
        <v>30</v>
      </c>
      <c r="G740" t="s">
        <v>697</v>
      </c>
      <c r="H740">
        <v>1</v>
      </c>
    </row>
    <row r="741" spans="1:8" x14ac:dyDescent="0.25">
      <c r="A741" s="26" t="s">
        <v>1258</v>
      </c>
      <c r="B741" t="s">
        <v>75</v>
      </c>
      <c r="C741" t="s">
        <v>175</v>
      </c>
      <c r="D741" t="s">
        <v>1419</v>
      </c>
      <c r="E741">
        <v>281728.54291417164</v>
      </c>
      <c r="F741">
        <v>30</v>
      </c>
      <c r="G741" t="s">
        <v>697</v>
      </c>
      <c r="H741">
        <v>1</v>
      </c>
    </row>
    <row r="742" spans="1:8" x14ac:dyDescent="0.25">
      <c r="A742" s="26" t="s">
        <v>1259</v>
      </c>
      <c r="B742" t="s">
        <v>75</v>
      </c>
      <c r="C742" t="s">
        <v>175</v>
      </c>
      <c r="D742" t="s">
        <v>1419</v>
      </c>
      <c r="E742">
        <v>281728.54291417164</v>
      </c>
      <c r="F742">
        <v>30</v>
      </c>
      <c r="G742" t="s">
        <v>697</v>
      </c>
      <c r="H742">
        <v>1</v>
      </c>
    </row>
    <row r="743" spans="1:8" x14ac:dyDescent="0.25">
      <c r="A743" s="26" t="s">
        <v>1260</v>
      </c>
      <c r="B743" t="s">
        <v>75</v>
      </c>
      <c r="C743" t="s">
        <v>175</v>
      </c>
      <c r="D743" t="s">
        <v>1419</v>
      </c>
      <c r="E743">
        <v>281728.54291417164</v>
      </c>
      <c r="F743">
        <v>30</v>
      </c>
      <c r="G743" t="s">
        <v>130</v>
      </c>
      <c r="H743">
        <v>1</v>
      </c>
    </row>
    <row r="744" spans="1:8" x14ac:dyDescent="0.25">
      <c r="A744" s="26" t="s">
        <v>1261</v>
      </c>
      <c r="B744" t="s">
        <v>75</v>
      </c>
      <c r="C744" t="s">
        <v>175</v>
      </c>
      <c r="D744" t="s">
        <v>1419</v>
      </c>
      <c r="E744">
        <v>281728.54291417164</v>
      </c>
      <c r="F744">
        <v>30</v>
      </c>
      <c r="G744" t="s">
        <v>130</v>
      </c>
      <c r="H744">
        <v>1</v>
      </c>
    </row>
    <row r="745" spans="1:8" x14ac:dyDescent="0.25">
      <c r="A745" s="26" t="s">
        <v>1262</v>
      </c>
      <c r="B745" t="s">
        <v>75</v>
      </c>
      <c r="C745" t="s">
        <v>175</v>
      </c>
      <c r="D745" t="s">
        <v>1419</v>
      </c>
      <c r="E745">
        <v>281728.54291417164</v>
      </c>
      <c r="F745">
        <v>30</v>
      </c>
      <c r="G745" t="s">
        <v>130</v>
      </c>
      <c r="H745">
        <v>1</v>
      </c>
    </row>
    <row r="746" spans="1:8" x14ac:dyDescent="0.25">
      <c r="A746" s="26" t="s">
        <v>1263</v>
      </c>
      <c r="B746" t="s">
        <v>75</v>
      </c>
      <c r="C746" t="s">
        <v>175</v>
      </c>
      <c r="D746" t="s">
        <v>1419</v>
      </c>
      <c r="E746">
        <v>281728.54291417164</v>
      </c>
      <c r="F746">
        <v>30</v>
      </c>
      <c r="G746" t="s">
        <v>130</v>
      </c>
      <c r="H746">
        <v>1</v>
      </c>
    </row>
    <row r="747" spans="1:8" x14ac:dyDescent="0.25">
      <c r="A747" s="26" t="s">
        <v>1264</v>
      </c>
      <c r="B747" t="s">
        <v>75</v>
      </c>
      <c r="C747" t="s">
        <v>175</v>
      </c>
      <c r="D747" t="s">
        <v>1419</v>
      </c>
      <c r="E747">
        <v>281728.54291417164</v>
      </c>
      <c r="F747">
        <v>30</v>
      </c>
      <c r="G747" t="s">
        <v>696</v>
      </c>
      <c r="H747">
        <v>2</v>
      </c>
    </row>
    <row r="748" spans="1:8" x14ac:dyDescent="0.25">
      <c r="A748" s="26" t="s">
        <v>1265</v>
      </c>
      <c r="B748" t="s">
        <v>75</v>
      </c>
      <c r="C748" t="s">
        <v>175</v>
      </c>
      <c r="D748" t="s">
        <v>1419</v>
      </c>
      <c r="E748">
        <v>281728.54291417164</v>
      </c>
      <c r="F748">
        <v>30</v>
      </c>
      <c r="G748" t="s">
        <v>697</v>
      </c>
      <c r="H748">
        <v>2</v>
      </c>
    </row>
    <row r="749" spans="1:8" x14ac:dyDescent="0.25">
      <c r="A749" s="26" t="s">
        <v>1266</v>
      </c>
      <c r="B749" t="s">
        <v>75</v>
      </c>
      <c r="C749" t="s">
        <v>175</v>
      </c>
      <c r="D749" t="s">
        <v>1419</v>
      </c>
      <c r="E749">
        <v>281728.54291417164</v>
      </c>
      <c r="F749">
        <v>30</v>
      </c>
      <c r="G749" t="s">
        <v>697</v>
      </c>
      <c r="H749">
        <v>1</v>
      </c>
    </row>
    <row r="750" spans="1:8" x14ac:dyDescent="0.25">
      <c r="A750" s="26" t="s">
        <v>1267</v>
      </c>
      <c r="B750" t="s">
        <v>75</v>
      </c>
      <c r="C750" t="s">
        <v>175</v>
      </c>
      <c r="D750" t="s">
        <v>1419</v>
      </c>
      <c r="E750">
        <v>281728.54291417164</v>
      </c>
      <c r="F750">
        <v>30</v>
      </c>
      <c r="G750" t="s">
        <v>697</v>
      </c>
      <c r="H750">
        <v>1</v>
      </c>
    </row>
    <row r="751" spans="1:8" x14ac:dyDescent="0.25">
      <c r="A751" s="26" t="s">
        <v>1268</v>
      </c>
      <c r="B751" t="s">
        <v>75</v>
      </c>
      <c r="C751" t="s">
        <v>175</v>
      </c>
      <c r="D751" t="s">
        <v>1419</v>
      </c>
      <c r="E751">
        <v>281728.54291417164</v>
      </c>
      <c r="F751">
        <v>30</v>
      </c>
      <c r="G751" t="s">
        <v>130</v>
      </c>
      <c r="H751">
        <v>1</v>
      </c>
    </row>
    <row r="752" spans="1:8" x14ac:dyDescent="0.25">
      <c r="A752" s="26" t="s">
        <v>1269</v>
      </c>
      <c r="B752" t="s">
        <v>75</v>
      </c>
      <c r="C752" t="s">
        <v>175</v>
      </c>
      <c r="D752" t="s">
        <v>1419</v>
      </c>
      <c r="E752">
        <v>296543.91217564867</v>
      </c>
      <c r="F752">
        <v>30</v>
      </c>
      <c r="G752" t="s">
        <v>696</v>
      </c>
      <c r="H752">
        <v>1</v>
      </c>
    </row>
    <row r="753" spans="1:8" x14ac:dyDescent="0.25">
      <c r="A753" s="26" t="s">
        <v>1270</v>
      </c>
      <c r="B753" t="s">
        <v>75</v>
      </c>
      <c r="C753" t="s">
        <v>175</v>
      </c>
      <c r="D753" t="s">
        <v>1419</v>
      </c>
      <c r="E753">
        <v>296543.91217564867</v>
      </c>
      <c r="F753">
        <v>30</v>
      </c>
      <c r="G753" t="s">
        <v>697</v>
      </c>
      <c r="H753">
        <v>1</v>
      </c>
    </row>
    <row r="754" spans="1:8" x14ac:dyDescent="0.25">
      <c r="A754" s="26" t="s">
        <v>1271</v>
      </c>
      <c r="B754" t="s">
        <v>75</v>
      </c>
      <c r="C754" t="s">
        <v>175</v>
      </c>
      <c r="D754" t="s">
        <v>1419</v>
      </c>
      <c r="E754">
        <v>296543.91217564867</v>
      </c>
      <c r="F754">
        <v>30</v>
      </c>
      <c r="G754" t="s">
        <v>130</v>
      </c>
      <c r="H754">
        <v>1</v>
      </c>
    </row>
    <row r="755" spans="1:8" x14ac:dyDescent="0.25">
      <c r="A755" s="26" t="s">
        <v>1272</v>
      </c>
      <c r="B755" t="s">
        <v>75</v>
      </c>
      <c r="C755" t="s">
        <v>175</v>
      </c>
      <c r="D755" t="s">
        <v>1419</v>
      </c>
      <c r="E755">
        <v>296543.91217564867</v>
      </c>
      <c r="F755">
        <v>30</v>
      </c>
      <c r="G755" t="s">
        <v>697</v>
      </c>
      <c r="H755">
        <v>1</v>
      </c>
    </row>
    <row r="756" spans="1:8" x14ac:dyDescent="0.25">
      <c r="A756" s="26" t="s">
        <v>1273</v>
      </c>
      <c r="B756" t="s">
        <v>75</v>
      </c>
      <c r="C756" t="s">
        <v>175</v>
      </c>
      <c r="D756" t="s">
        <v>1419</v>
      </c>
      <c r="E756">
        <v>296543.91217564867</v>
      </c>
      <c r="F756">
        <v>30</v>
      </c>
      <c r="G756" t="s">
        <v>697</v>
      </c>
      <c r="H756">
        <v>1</v>
      </c>
    </row>
    <row r="757" spans="1:8" x14ac:dyDescent="0.25">
      <c r="A757" s="26" t="s">
        <v>1274</v>
      </c>
      <c r="B757" t="s">
        <v>75</v>
      </c>
      <c r="C757" t="s">
        <v>175</v>
      </c>
      <c r="D757" t="s">
        <v>1419</v>
      </c>
      <c r="E757">
        <v>296543.91217564867</v>
      </c>
      <c r="F757">
        <v>30</v>
      </c>
      <c r="G757" t="s">
        <v>696</v>
      </c>
      <c r="H757">
        <v>1</v>
      </c>
    </row>
    <row r="758" spans="1:8" x14ac:dyDescent="0.25">
      <c r="A758" s="26" t="s">
        <v>1275</v>
      </c>
      <c r="B758" t="s">
        <v>75</v>
      </c>
      <c r="C758" t="s">
        <v>175</v>
      </c>
      <c r="D758" t="s">
        <v>1419</v>
      </c>
      <c r="E758">
        <v>296543.91217564867</v>
      </c>
      <c r="F758">
        <v>30</v>
      </c>
      <c r="G758" t="s">
        <v>697</v>
      </c>
      <c r="H758">
        <v>1</v>
      </c>
    </row>
    <row r="759" spans="1:8" x14ac:dyDescent="0.25">
      <c r="A759" s="26" t="s">
        <v>1276</v>
      </c>
      <c r="B759" t="s">
        <v>75</v>
      </c>
      <c r="C759" t="s">
        <v>175</v>
      </c>
      <c r="D759" t="s">
        <v>1419</v>
      </c>
      <c r="E759">
        <v>296543.91217564867</v>
      </c>
      <c r="F759">
        <v>30</v>
      </c>
      <c r="G759" t="s">
        <v>697</v>
      </c>
      <c r="H759">
        <v>1</v>
      </c>
    </row>
    <row r="760" spans="1:8" x14ac:dyDescent="0.25">
      <c r="A760" s="26" t="s">
        <v>1277</v>
      </c>
      <c r="B760" t="s">
        <v>75</v>
      </c>
      <c r="C760" t="s">
        <v>175</v>
      </c>
      <c r="D760" t="s">
        <v>1419</v>
      </c>
      <c r="E760">
        <v>296543.91217564867</v>
      </c>
      <c r="F760">
        <v>30</v>
      </c>
      <c r="G760" t="s">
        <v>130</v>
      </c>
      <c r="H760">
        <v>1</v>
      </c>
    </row>
    <row r="761" spans="1:8" x14ac:dyDescent="0.25">
      <c r="A761" s="26" t="s">
        <v>1278</v>
      </c>
      <c r="B761" t="s">
        <v>75</v>
      </c>
      <c r="C761" t="s">
        <v>175</v>
      </c>
      <c r="D761" t="s">
        <v>1419</v>
      </c>
      <c r="E761">
        <v>296543.91217564867</v>
      </c>
      <c r="F761">
        <v>30</v>
      </c>
      <c r="G761" t="s">
        <v>130</v>
      </c>
      <c r="H761">
        <v>1</v>
      </c>
    </row>
    <row r="762" spans="1:8" x14ac:dyDescent="0.25">
      <c r="A762" s="26" t="s">
        <v>1279</v>
      </c>
      <c r="B762" t="s">
        <v>75</v>
      </c>
      <c r="C762" t="s">
        <v>175</v>
      </c>
      <c r="D762" t="s">
        <v>1419</v>
      </c>
      <c r="E762">
        <v>296543.91217564867</v>
      </c>
      <c r="F762">
        <v>30</v>
      </c>
      <c r="G762" t="s">
        <v>130</v>
      </c>
      <c r="H762">
        <v>1</v>
      </c>
    </row>
    <row r="763" spans="1:8" x14ac:dyDescent="0.25">
      <c r="A763" s="26" t="s">
        <v>1280</v>
      </c>
      <c r="B763" t="s">
        <v>75</v>
      </c>
      <c r="C763" t="s">
        <v>175</v>
      </c>
      <c r="D763" t="s">
        <v>1419</v>
      </c>
      <c r="E763">
        <v>296543.91217564867</v>
      </c>
      <c r="F763">
        <v>30</v>
      </c>
      <c r="G763" t="s">
        <v>697</v>
      </c>
      <c r="H763">
        <v>1</v>
      </c>
    </row>
    <row r="764" spans="1:8" x14ac:dyDescent="0.25">
      <c r="A764" s="26" t="s">
        <v>1281</v>
      </c>
      <c r="B764" t="s">
        <v>75</v>
      </c>
      <c r="C764" t="s">
        <v>175</v>
      </c>
      <c r="D764" t="s">
        <v>1419</v>
      </c>
      <c r="E764">
        <v>296543.91217564867</v>
      </c>
      <c r="F764">
        <v>30</v>
      </c>
      <c r="G764" t="s">
        <v>130</v>
      </c>
      <c r="H764">
        <v>1</v>
      </c>
    </row>
    <row r="765" spans="1:8" x14ac:dyDescent="0.25">
      <c r="A765" s="26" t="s">
        <v>1282</v>
      </c>
      <c r="B765" t="s">
        <v>75</v>
      </c>
      <c r="C765" t="s">
        <v>175</v>
      </c>
      <c r="D765" t="s">
        <v>1419</v>
      </c>
      <c r="E765">
        <v>296543.91217564867</v>
      </c>
      <c r="F765">
        <v>30</v>
      </c>
      <c r="G765" t="s">
        <v>697</v>
      </c>
      <c r="H765">
        <v>1</v>
      </c>
    </row>
    <row r="766" spans="1:8" x14ac:dyDescent="0.25">
      <c r="A766" s="26" t="s">
        <v>1283</v>
      </c>
      <c r="B766" t="s">
        <v>75</v>
      </c>
      <c r="C766" t="s">
        <v>175</v>
      </c>
      <c r="D766" t="s">
        <v>1419</v>
      </c>
      <c r="E766">
        <v>296543.91217564867</v>
      </c>
      <c r="F766">
        <v>30</v>
      </c>
      <c r="G766" t="s">
        <v>697</v>
      </c>
      <c r="H766">
        <v>1</v>
      </c>
    </row>
    <row r="767" spans="1:8" x14ac:dyDescent="0.25">
      <c r="A767" s="26" t="s">
        <v>1284</v>
      </c>
      <c r="B767" t="s">
        <v>75</v>
      </c>
      <c r="C767" t="s">
        <v>175</v>
      </c>
      <c r="D767" t="s">
        <v>1419</v>
      </c>
      <c r="E767">
        <v>296543.91217564867</v>
      </c>
      <c r="F767">
        <v>30</v>
      </c>
      <c r="G767" t="s">
        <v>697</v>
      </c>
      <c r="H767">
        <v>1</v>
      </c>
    </row>
    <row r="768" spans="1:8" x14ac:dyDescent="0.25">
      <c r="A768" s="26" t="s">
        <v>1285</v>
      </c>
      <c r="B768" t="s">
        <v>75</v>
      </c>
      <c r="C768" t="s">
        <v>175</v>
      </c>
      <c r="D768" t="s">
        <v>1419</v>
      </c>
      <c r="E768">
        <v>296543.91217564867</v>
      </c>
      <c r="F768">
        <v>30</v>
      </c>
      <c r="G768" t="s">
        <v>697</v>
      </c>
      <c r="H768">
        <v>1</v>
      </c>
    </row>
    <row r="769" spans="1:8" x14ac:dyDescent="0.25">
      <c r="A769" s="26" t="s">
        <v>1286</v>
      </c>
      <c r="B769" t="s">
        <v>75</v>
      </c>
      <c r="C769" t="s">
        <v>175</v>
      </c>
      <c r="D769" t="s">
        <v>1419</v>
      </c>
      <c r="E769">
        <v>296543.91217564867</v>
      </c>
      <c r="F769">
        <v>30</v>
      </c>
      <c r="G769" t="s">
        <v>130</v>
      </c>
      <c r="H769">
        <v>1</v>
      </c>
    </row>
    <row r="770" spans="1:8" x14ac:dyDescent="0.25">
      <c r="A770" s="26" t="s">
        <v>1287</v>
      </c>
      <c r="B770" t="s">
        <v>75</v>
      </c>
      <c r="C770" t="s">
        <v>175</v>
      </c>
      <c r="D770" t="s">
        <v>1419</v>
      </c>
      <c r="E770">
        <v>296543.91217564867</v>
      </c>
      <c r="F770">
        <v>30</v>
      </c>
      <c r="G770" t="s">
        <v>697</v>
      </c>
      <c r="H770">
        <v>1</v>
      </c>
    </row>
    <row r="771" spans="1:8" x14ac:dyDescent="0.25">
      <c r="A771" s="26" t="s">
        <v>1288</v>
      </c>
      <c r="B771" t="s">
        <v>75</v>
      </c>
      <c r="C771" t="s">
        <v>175</v>
      </c>
      <c r="D771" t="s">
        <v>1419</v>
      </c>
      <c r="E771">
        <v>296543.91217564867</v>
      </c>
      <c r="F771">
        <v>30</v>
      </c>
      <c r="G771" t="s">
        <v>697</v>
      </c>
      <c r="H771">
        <v>1</v>
      </c>
    </row>
    <row r="772" spans="1:8" x14ac:dyDescent="0.25">
      <c r="A772" s="26" t="s">
        <v>1289</v>
      </c>
      <c r="B772" t="s">
        <v>75</v>
      </c>
      <c r="C772" t="s">
        <v>175</v>
      </c>
      <c r="D772" t="s">
        <v>1419</v>
      </c>
      <c r="E772">
        <v>296543.91217564867</v>
      </c>
      <c r="F772">
        <v>30</v>
      </c>
      <c r="G772" t="s">
        <v>130</v>
      </c>
      <c r="H772">
        <v>1</v>
      </c>
    </row>
    <row r="773" spans="1:8" x14ac:dyDescent="0.25">
      <c r="A773" s="26" t="s">
        <v>1290</v>
      </c>
      <c r="B773" t="s">
        <v>75</v>
      </c>
      <c r="C773" t="s">
        <v>175</v>
      </c>
      <c r="D773" t="s">
        <v>1419</v>
      </c>
      <c r="E773">
        <v>296543.91217564867</v>
      </c>
      <c r="F773">
        <v>30</v>
      </c>
      <c r="G773" t="s">
        <v>697</v>
      </c>
      <c r="H773">
        <v>1</v>
      </c>
    </row>
    <row r="774" spans="1:8" x14ac:dyDescent="0.25">
      <c r="A774" s="26" t="s">
        <v>1291</v>
      </c>
      <c r="B774" t="s">
        <v>75</v>
      </c>
      <c r="C774" t="s">
        <v>175</v>
      </c>
      <c r="D774" t="s">
        <v>1419</v>
      </c>
      <c r="E774">
        <v>296543.91217564867</v>
      </c>
      <c r="F774">
        <v>30</v>
      </c>
      <c r="G774" t="s">
        <v>130</v>
      </c>
      <c r="H774">
        <v>1</v>
      </c>
    </row>
    <row r="775" spans="1:8" x14ac:dyDescent="0.25">
      <c r="A775" s="26" t="s">
        <v>1292</v>
      </c>
      <c r="B775" t="s">
        <v>75</v>
      </c>
      <c r="C775" t="s">
        <v>175</v>
      </c>
      <c r="D775" t="s">
        <v>1419</v>
      </c>
      <c r="E775">
        <v>296543.91217564867</v>
      </c>
      <c r="F775">
        <v>30</v>
      </c>
      <c r="G775" t="s">
        <v>697</v>
      </c>
      <c r="H775">
        <v>1</v>
      </c>
    </row>
    <row r="776" spans="1:8" x14ac:dyDescent="0.25">
      <c r="A776" s="26" t="s">
        <v>1293</v>
      </c>
      <c r="B776" t="s">
        <v>75</v>
      </c>
      <c r="C776" t="s">
        <v>175</v>
      </c>
      <c r="D776" t="s">
        <v>1419</v>
      </c>
      <c r="E776">
        <v>296543.91217564867</v>
      </c>
      <c r="F776">
        <v>30</v>
      </c>
      <c r="G776" t="s">
        <v>697</v>
      </c>
      <c r="H776">
        <v>1</v>
      </c>
    </row>
    <row r="777" spans="1:8" x14ac:dyDescent="0.25">
      <c r="A777" s="26" t="s">
        <v>1294</v>
      </c>
      <c r="B777" t="s">
        <v>75</v>
      </c>
      <c r="C777" t="s">
        <v>175</v>
      </c>
      <c r="D777" t="s">
        <v>1419</v>
      </c>
      <c r="E777">
        <v>296543.91217564867</v>
      </c>
      <c r="F777">
        <v>30</v>
      </c>
      <c r="G777" t="s">
        <v>130</v>
      </c>
      <c r="H777">
        <v>1</v>
      </c>
    </row>
    <row r="778" spans="1:8" x14ac:dyDescent="0.25">
      <c r="A778" s="26" t="s">
        <v>1295</v>
      </c>
      <c r="B778" t="s">
        <v>75</v>
      </c>
      <c r="C778" t="s">
        <v>175</v>
      </c>
      <c r="D778" t="s">
        <v>1419</v>
      </c>
      <c r="E778">
        <v>296543.91217564867</v>
      </c>
      <c r="F778">
        <v>30</v>
      </c>
      <c r="G778" t="s">
        <v>697</v>
      </c>
      <c r="H778">
        <v>1</v>
      </c>
    </row>
    <row r="779" spans="1:8" x14ac:dyDescent="0.25">
      <c r="A779" s="26" t="s">
        <v>1296</v>
      </c>
      <c r="B779" t="s">
        <v>75</v>
      </c>
      <c r="C779" t="s">
        <v>175</v>
      </c>
      <c r="D779" t="s">
        <v>1419</v>
      </c>
      <c r="E779">
        <v>296543.91217564867</v>
      </c>
      <c r="F779">
        <v>30</v>
      </c>
      <c r="G779" t="s">
        <v>697</v>
      </c>
      <c r="H779">
        <v>1</v>
      </c>
    </row>
    <row r="780" spans="1:8" x14ac:dyDescent="0.25">
      <c r="A780" s="26" t="s">
        <v>1297</v>
      </c>
      <c r="B780" t="s">
        <v>75</v>
      </c>
      <c r="C780" t="s">
        <v>175</v>
      </c>
      <c r="D780" t="s">
        <v>1419</v>
      </c>
      <c r="E780">
        <v>296543.91217564867</v>
      </c>
      <c r="F780">
        <v>30</v>
      </c>
      <c r="G780" t="s">
        <v>130</v>
      </c>
      <c r="H780">
        <v>1</v>
      </c>
    </row>
    <row r="781" spans="1:8" x14ac:dyDescent="0.25">
      <c r="A781" s="26" t="s">
        <v>1298</v>
      </c>
      <c r="B781" t="s">
        <v>75</v>
      </c>
      <c r="C781" t="s">
        <v>175</v>
      </c>
      <c r="D781" t="s">
        <v>1419</v>
      </c>
      <c r="E781">
        <v>296543.91217564867</v>
      </c>
      <c r="F781">
        <v>30</v>
      </c>
      <c r="G781" t="s">
        <v>697</v>
      </c>
      <c r="H781">
        <v>1</v>
      </c>
    </row>
    <row r="782" spans="1:8" x14ac:dyDescent="0.25">
      <c r="A782" s="26" t="s">
        <v>1299</v>
      </c>
      <c r="B782" t="s">
        <v>75</v>
      </c>
      <c r="C782" t="s">
        <v>175</v>
      </c>
      <c r="D782" t="s">
        <v>1419</v>
      </c>
      <c r="E782">
        <v>413356.2874251497</v>
      </c>
      <c r="F782">
        <v>30</v>
      </c>
      <c r="G782" t="s">
        <v>130</v>
      </c>
      <c r="H782">
        <v>1</v>
      </c>
    </row>
    <row r="783" spans="1:8" x14ac:dyDescent="0.25">
      <c r="A783" s="26" t="s">
        <v>1300</v>
      </c>
      <c r="B783" t="s">
        <v>75</v>
      </c>
      <c r="C783" t="s">
        <v>175</v>
      </c>
      <c r="D783" t="s">
        <v>1419</v>
      </c>
      <c r="E783">
        <v>413356.2874251497</v>
      </c>
      <c r="F783">
        <v>30</v>
      </c>
      <c r="G783" t="s">
        <v>130</v>
      </c>
      <c r="H783">
        <v>1</v>
      </c>
    </row>
    <row r="784" spans="1:8" x14ac:dyDescent="0.25">
      <c r="A784" s="26" t="s">
        <v>1301</v>
      </c>
      <c r="B784" t="s">
        <v>75</v>
      </c>
      <c r="C784" t="s">
        <v>175</v>
      </c>
      <c r="D784" t="s">
        <v>1419</v>
      </c>
      <c r="E784">
        <v>413356.2874251497</v>
      </c>
      <c r="F784">
        <v>30</v>
      </c>
      <c r="G784" t="s">
        <v>697</v>
      </c>
      <c r="H784">
        <v>1</v>
      </c>
    </row>
    <row r="785" spans="1:8" x14ac:dyDescent="0.25">
      <c r="A785" s="26" t="s">
        <v>1302</v>
      </c>
      <c r="B785" t="s">
        <v>75</v>
      </c>
      <c r="C785" t="s">
        <v>175</v>
      </c>
      <c r="D785" t="s">
        <v>1419</v>
      </c>
      <c r="E785">
        <v>413356.2874251497</v>
      </c>
      <c r="F785">
        <v>30</v>
      </c>
      <c r="G785" t="s">
        <v>697</v>
      </c>
      <c r="H785">
        <v>1</v>
      </c>
    </row>
    <row r="786" spans="1:8" x14ac:dyDescent="0.25">
      <c r="A786" s="26" t="s">
        <v>1303</v>
      </c>
      <c r="B786" t="s">
        <v>75</v>
      </c>
      <c r="C786" t="s">
        <v>175</v>
      </c>
      <c r="D786" t="s">
        <v>1419</v>
      </c>
      <c r="E786">
        <v>413356.2874251497</v>
      </c>
      <c r="F786">
        <v>30</v>
      </c>
      <c r="G786" t="s">
        <v>698</v>
      </c>
      <c r="H786">
        <v>1</v>
      </c>
    </row>
    <row r="787" spans="1:8" x14ac:dyDescent="0.25">
      <c r="A787" s="26" t="s">
        <v>1304</v>
      </c>
      <c r="B787" t="s">
        <v>75</v>
      </c>
      <c r="C787" t="s">
        <v>175</v>
      </c>
      <c r="D787" t="s">
        <v>1419</v>
      </c>
      <c r="E787">
        <v>413356.2874251497</v>
      </c>
      <c r="F787">
        <v>30</v>
      </c>
      <c r="G787" t="s">
        <v>696</v>
      </c>
      <c r="H787">
        <v>1</v>
      </c>
    </row>
    <row r="788" spans="1:8" x14ac:dyDescent="0.25">
      <c r="A788" s="26" t="s">
        <v>1305</v>
      </c>
      <c r="B788" t="s">
        <v>75</v>
      </c>
      <c r="C788" t="s">
        <v>175</v>
      </c>
      <c r="D788" t="s">
        <v>1419</v>
      </c>
      <c r="E788">
        <v>413356.2874251497</v>
      </c>
      <c r="F788">
        <v>30</v>
      </c>
      <c r="G788" t="s">
        <v>130</v>
      </c>
      <c r="H788">
        <v>2</v>
      </c>
    </row>
    <row r="789" spans="1:8" x14ac:dyDescent="0.25">
      <c r="A789" s="26" t="s">
        <v>1306</v>
      </c>
      <c r="B789" t="s">
        <v>75</v>
      </c>
      <c r="C789" t="s">
        <v>175</v>
      </c>
      <c r="D789" t="s">
        <v>1419</v>
      </c>
      <c r="E789">
        <v>413356.2874251497</v>
      </c>
      <c r="F789">
        <v>30</v>
      </c>
      <c r="G789" t="s">
        <v>130</v>
      </c>
      <c r="H789">
        <v>1</v>
      </c>
    </row>
    <row r="790" spans="1:8" x14ac:dyDescent="0.25">
      <c r="A790" s="26" t="s">
        <v>1307</v>
      </c>
      <c r="B790" t="s">
        <v>75</v>
      </c>
      <c r="C790" t="s">
        <v>175</v>
      </c>
      <c r="D790" t="s">
        <v>1419</v>
      </c>
      <c r="E790">
        <v>413356.2874251497</v>
      </c>
      <c r="F790">
        <v>30</v>
      </c>
      <c r="G790" t="s">
        <v>696</v>
      </c>
      <c r="H790">
        <v>2</v>
      </c>
    </row>
    <row r="791" spans="1:8" x14ac:dyDescent="0.25">
      <c r="A791" s="26" t="s">
        <v>1308</v>
      </c>
      <c r="B791" t="s">
        <v>75</v>
      </c>
      <c r="C791" t="s">
        <v>175</v>
      </c>
      <c r="D791" t="s">
        <v>1419</v>
      </c>
      <c r="E791">
        <v>413356.2874251497</v>
      </c>
      <c r="F791">
        <v>30</v>
      </c>
      <c r="G791" t="s">
        <v>698</v>
      </c>
      <c r="H791">
        <v>1</v>
      </c>
    </row>
    <row r="792" spans="1:8" x14ac:dyDescent="0.25">
      <c r="A792" s="26" t="s">
        <v>1309</v>
      </c>
      <c r="B792" t="s">
        <v>75</v>
      </c>
      <c r="C792" t="s">
        <v>175</v>
      </c>
      <c r="D792" t="s">
        <v>1419</v>
      </c>
      <c r="E792">
        <v>413356.2874251497</v>
      </c>
      <c r="F792">
        <v>30</v>
      </c>
      <c r="G792" t="s">
        <v>697</v>
      </c>
      <c r="H792">
        <v>1</v>
      </c>
    </row>
    <row r="793" spans="1:8" x14ac:dyDescent="0.25">
      <c r="A793" s="26" t="s">
        <v>1310</v>
      </c>
      <c r="B793" t="s">
        <v>75</v>
      </c>
      <c r="C793" t="s">
        <v>175</v>
      </c>
      <c r="D793" t="s">
        <v>1419</v>
      </c>
      <c r="E793">
        <v>413356.2874251497</v>
      </c>
      <c r="F793">
        <v>30</v>
      </c>
      <c r="G793" t="s">
        <v>697</v>
      </c>
      <c r="H793">
        <v>1</v>
      </c>
    </row>
    <row r="794" spans="1:8" x14ac:dyDescent="0.25">
      <c r="A794" s="26" t="s">
        <v>1311</v>
      </c>
      <c r="B794" t="s">
        <v>75</v>
      </c>
      <c r="C794" t="s">
        <v>175</v>
      </c>
      <c r="D794" t="s">
        <v>1419</v>
      </c>
      <c r="E794">
        <v>413356.2874251497</v>
      </c>
      <c r="F794">
        <v>30</v>
      </c>
      <c r="G794" t="s">
        <v>697</v>
      </c>
      <c r="H794">
        <v>1</v>
      </c>
    </row>
    <row r="795" spans="1:8" x14ac:dyDescent="0.25">
      <c r="A795" s="26" t="s">
        <v>1312</v>
      </c>
      <c r="B795" t="s">
        <v>75</v>
      </c>
      <c r="C795" t="s">
        <v>175</v>
      </c>
      <c r="D795" t="s">
        <v>1419</v>
      </c>
      <c r="E795">
        <v>413356.2874251497</v>
      </c>
      <c r="F795">
        <v>30</v>
      </c>
      <c r="G795" t="s">
        <v>697</v>
      </c>
      <c r="H795">
        <v>1</v>
      </c>
    </row>
    <row r="796" spans="1:8" x14ac:dyDescent="0.25">
      <c r="A796" s="26" t="s">
        <v>1313</v>
      </c>
      <c r="B796" t="s">
        <v>75</v>
      </c>
      <c r="C796" t="s">
        <v>175</v>
      </c>
      <c r="D796" t="s">
        <v>1419</v>
      </c>
      <c r="E796">
        <v>413356.2874251497</v>
      </c>
      <c r="F796">
        <v>30</v>
      </c>
      <c r="G796" t="s">
        <v>698</v>
      </c>
      <c r="H796">
        <v>1</v>
      </c>
    </row>
    <row r="797" spans="1:8" x14ac:dyDescent="0.25">
      <c r="A797" s="26" t="s">
        <v>1314</v>
      </c>
      <c r="B797" t="s">
        <v>75</v>
      </c>
      <c r="C797" t="s">
        <v>175</v>
      </c>
      <c r="D797" t="s">
        <v>1419</v>
      </c>
      <c r="E797">
        <v>413356.2874251497</v>
      </c>
      <c r="F797">
        <v>30</v>
      </c>
      <c r="G797" t="s">
        <v>697</v>
      </c>
      <c r="H797">
        <v>1</v>
      </c>
    </row>
    <row r="798" spans="1:8" x14ac:dyDescent="0.25">
      <c r="A798" s="26" t="s">
        <v>1315</v>
      </c>
      <c r="B798" t="s">
        <v>75</v>
      </c>
      <c r="C798" t="s">
        <v>175</v>
      </c>
      <c r="D798" t="s">
        <v>1419</v>
      </c>
      <c r="E798">
        <v>413356.2874251497</v>
      </c>
      <c r="F798">
        <v>30</v>
      </c>
      <c r="G798" t="s">
        <v>697</v>
      </c>
      <c r="H798">
        <v>1</v>
      </c>
    </row>
    <row r="799" spans="1:8" x14ac:dyDescent="0.25">
      <c r="A799" s="26" t="s">
        <v>1316</v>
      </c>
      <c r="B799" t="s">
        <v>75</v>
      </c>
      <c r="C799" t="s">
        <v>175</v>
      </c>
      <c r="D799" t="s">
        <v>1419</v>
      </c>
      <c r="E799">
        <v>413356.2874251497</v>
      </c>
      <c r="F799">
        <v>30</v>
      </c>
      <c r="G799" t="s">
        <v>696</v>
      </c>
      <c r="H799">
        <v>1</v>
      </c>
    </row>
    <row r="800" spans="1:8" x14ac:dyDescent="0.25">
      <c r="A800" s="26" t="s">
        <v>1317</v>
      </c>
      <c r="B800" t="s">
        <v>75</v>
      </c>
      <c r="C800" t="s">
        <v>175</v>
      </c>
      <c r="D800" t="s">
        <v>1419</v>
      </c>
      <c r="E800">
        <v>413356.2874251497</v>
      </c>
      <c r="F800">
        <v>30</v>
      </c>
      <c r="G800" t="s">
        <v>130</v>
      </c>
      <c r="H800">
        <v>2</v>
      </c>
    </row>
    <row r="801" spans="1:8" x14ac:dyDescent="0.25">
      <c r="A801" s="26" t="s">
        <v>1318</v>
      </c>
      <c r="B801" t="s">
        <v>75</v>
      </c>
      <c r="C801" t="s">
        <v>175</v>
      </c>
      <c r="D801" t="s">
        <v>1419</v>
      </c>
      <c r="E801">
        <v>413356.2874251497</v>
      </c>
      <c r="F801">
        <v>30</v>
      </c>
      <c r="G801" t="s">
        <v>697</v>
      </c>
      <c r="H801">
        <v>2</v>
      </c>
    </row>
    <row r="802" spans="1:8" x14ac:dyDescent="0.25">
      <c r="A802" s="26" t="s">
        <v>1319</v>
      </c>
      <c r="B802" t="s">
        <v>75</v>
      </c>
      <c r="C802" t="s">
        <v>175</v>
      </c>
      <c r="D802" t="s">
        <v>1419</v>
      </c>
      <c r="E802">
        <v>413356.2874251497</v>
      </c>
      <c r="F802">
        <v>30</v>
      </c>
      <c r="G802" t="s">
        <v>130</v>
      </c>
      <c r="H802">
        <v>1</v>
      </c>
    </row>
    <row r="803" spans="1:8" x14ac:dyDescent="0.25">
      <c r="A803" s="26" t="s">
        <v>1320</v>
      </c>
      <c r="B803" t="s">
        <v>75</v>
      </c>
      <c r="C803" t="s">
        <v>175</v>
      </c>
      <c r="D803" t="s">
        <v>1419</v>
      </c>
      <c r="E803">
        <v>413356.2874251497</v>
      </c>
      <c r="F803">
        <v>30</v>
      </c>
      <c r="G803" t="s">
        <v>696</v>
      </c>
      <c r="H803">
        <v>1</v>
      </c>
    </row>
    <row r="804" spans="1:8" x14ac:dyDescent="0.25">
      <c r="A804" s="26" t="s">
        <v>1321</v>
      </c>
      <c r="B804" t="s">
        <v>75</v>
      </c>
      <c r="C804" t="s">
        <v>175</v>
      </c>
      <c r="D804" t="s">
        <v>1419</v>
      </c>
      <c r="E804">
        <v>413356.2874251497</v>
      </c>
      <c r="F804">
        <v>30</v>
      </c>
      <c r="G804" t="s">
        <v>696</v>
      </c>
      <c r="H804">
        <v>1</v>
      </c>
    </row>
    <row r="805" spans="1:8" x14ac:dyDescent="0.25">
      <c r="A805" s="26" t="s">
        <v>1322</v>
      </c>
      <c r="B805" t="s">
        <v>75</v>
      </c>
      <c r="C805" t="s">
        <v>175</v>
      </c>
      <c r="D805" t="s">
        <v>1419</v>
      </c>
      <c r="E805">
        <v>413356.2874251497</v>
      </c>
      <c r="F805">
        <v>30</v>
      </c>
      <c r="G805" t="s">
        <v>696</v>
      </c>
      <c r="H805">
        <v>1</v>
      </c>
    </row>
    <row r="806" spans="1:8" x14ac:dyDescent="0.25">
      <c r="A806" s="26" t="s">
        <v>1323</v>
      </c>
      <c r="B806" t="s">
        <v>75</v>
      </c>
      <c r="C806" t="s">
        <v>175</v>
      </c>
      <c r="D806" t="s">
        <v>1419</v>
      </c>
      <c r="E806">
        <v>413356.2874251497</v>
      </c>
      <c r="F806">
        <v>30</v>
      </c>
      <c r="G806" t="s">
        <v>697</v>
      </c>
      <c r="H806">
        <v>1</v>
      </c>
    </row>
    <row r="807" spans="1:8" x14ac:dyDescent="0.25">
      <c r="A807" s="26" t="s">
        <v>1324</v>
      </c>
      <c r="B807" t="s">
        <v>75</v>
      </c>
      <c r="C807" t="s">
        <v>175</v>
      </c>
      <c r="D807" t="s">
        <v>1419</v>
      </c>
      <c r="E807">
        <v>413356.2874251497</v>
      </c>
      <c r="F807">
        <v>30</v>
      </c>
      <c r="G807" t="s">
        <v>130</v>
      </c>
      <c r="H807">
        <v>1</v>
      </c>
    </row>
    <row r="808" spans="1:8" x14ac:dyDescent="0.25">
      <c r="A808" s="26" t="s">
        <v>1325</v>
      </c>
      <c r="B808" t="s">
        <v>75</v>
      </c>
      <c r="C808" t="s">
        <v>175</v>
      </c>
      <c r="D808" t="s">
        <v>1419</v>
      </c>
      <c r="E808">
        <v>413356.2874251497</v>
      </c>
      <c r="F808">
        <v>30</v>
      </c>
      <c r="G808" t="s">
        <v>697</v>
      </c>
      <c r="H808">
        <v>1</v>
      </c>
    </row>
    <row r="809" spans="1:8" x14ac:dyDescent="0.25">
      <c r="A809" s="26" t="s">
        <v>1326</v>
      </c>
      <c r="B809" t="s">
        <v>75</v>
      </c>
      <c r="C809" t="s">
        <v>175</v>
      </c>
      <c r="D809" t="s">
        <v>1419</v>
      </c>
      <c r="E809">
        <v>413356.2874251497</v>
      </c>
      <c r="F809">
        <v>30</v>
      </c>
      <c r="G809" t="s">
        <v>697</v>
      </c>
      <c r="H809">
        <v>1</v>
      </c>
    </row>
    <row r="810" spans="1:8" x14ac:dyDescent="0.25">
      <c r="A810" s="26" t="s">
        <v>1327</v>
      </c>
      <c r="B810" t="s">
        <v>75</v>
      </c>
      <c r="C810" t="s">
        <v>175</v>
      </c>
      <c r="D810" t="s">
        <v>1419</v>
      </c>
      <c r="E810">
        <v>413356.2874251497</v>
      </c>
      <c r="F810">
        <v>30</v>
      </c>
      <c r="G810" t="s">
        <v>697</v>
      </c>
      <c r="H810">
        <v>1</v>
      </c>
    </row>
    <row r="811" spans="1:8" x14ac:dyDescent="0.25">
      <c r="A811" s="26" t="s">
        <v>1328</v>
      </c>
      <c r="B811" t="s">
        <v>75</v>
      </c>
      <c r="C811" t="s">
        <v>175</v>
      </c>
      <c r="D811" t="s">
        <v>1419</v>
      </c>
      <c r="E811">
        <v>413356.2874251497</v>
      </c>
      <c r="F811">
        <v>30</v>
      </c>
      <c r="G811" t="s">
        <v>697</v>
      </c>
      <c r="H811">
        <v>1</v>
      </c>
    </row>
    <row r="812" spans="1:8" x14ac:dyDescent="0.25">
      <c r="A812" s="26" t="s">
        <v>1329</v>
      </c>
      <c r="B812" t="s">
        <v>75</v>
      </c>
      <c r="C812" t="s">
        <v>175</v>
      </c>
      <c r="D812" t="s">
        <v>1419</v>
      </c>
      <c r="E812">
        <v>464982.89371257485</v>
      </c>
      <c r="F812">
        <v>60</v>
      </c>
    </row>
    <row r="813" spans="1:8" x14ac:dyDescent="0.25">
      <c r="A813" s="26" t="s">
        <v>1330</v>
      </c>
      <c r="B813" t="s">
        <v>75</v>
      </c>
      <c r="C813" t="s">
        <v>175</v>
      </c>
      <c r="D813" t="s">
        <v>1419</v>
      </c>
      <c r="E813">
        <v>464982.89371257485</v>
      </c>
      <c r="F813">
        <v>60</v>
      </c>
    </row>
    <row r="814" spans="1:8" x14ac:dyDescent="0.25">
      <c r="A814" s="26" t="s">
        <v>1331</v>
      </c>
      <c r="B814" t="s">
        <v>75</v>
      </c>
      <c r="C814" t="s">
        <v>175</v>
      </c>
      <c r="D814" t="s">
        <v>1419</v>
      </c>
      <c r="E814">
        <v>464982.89371257485</v>
      </c>
      <c r="F814">
        <v>60</v>
      </c>
    </row>
    <row r="815" spans="1:8" x14ac:dyDescent="0.25">
      <c r="A815" s="26" t="s">
        <v>1332</v>
      </c>
      <c r="B815" t="s">
        <v>75</v>
      </c>
      <c r="C815" t="s">
        <v>175</v>
      </c>
      <c r="D815" t="s">
        <v>1419</v>
      </c>
      <c r="E815">
        <v>464982.89371257485</v>
      </c>
      <c r="F815">
        <v>60</v>
      </c>
    </row>
    <row r="816" spans="1:8" x14ac:dyDescent="0.25">
      <c r="A816" s="26" t="s">
        <v>1333</v>
      </c>
      <c r="B816" t="s">
        <v>75</v>
      </c>
      <c r="C816" t="s">
        <v>175</v>
      </c>
      <c r="D816" t="s">
        <v>1419</v>
      </c>
      <c r="E816">
        <v>464982.89371257485</v>
      </c>
      <c r="F816">
        <v>60</v>
      </c>
    </row>
    <row r="817" spans="1:6" x14ac:dyDescent="0.25">
      <c r="A817" s="26" t="s">
        <v>1334</v>
      </c>
      <c r="B817" t="s">
        <v>75</v>
      </c>
      <c r="C817" t="s">
        <v>175</v>
      </c>
      <c r="D817" t="s">
        <v>1419</v>
      </c>
      <c r="E817">
        <v>464982.89371257485</v>
      </c>
      <c r="F817">
        <v>60</v>
      </c>
    </row>
    <row r="818" spans="1:6" x14ac:dyDescent="0.25">
      <c r="A818" s="26" t="s">
        <v>1335</v>
      </c>
      <c r="B818" t="s">
        <v>75</v>
      </c>
      <c r="C818" t="s">
        <v>175</v>
      </c>
      <c r="D818" t="s">
        <v>1419</v>
      </c>
      <c r="E818">
        <v>464982.89371257485</v>
      </c>
      <c r="F818">
        <v>60</v>
      </c>
    </row>
    <row r="819" spans="1:6" x14ac:dyDescent="0.25">
      <c r="A819" s="26" t="s">
        <v>1336</v>
      </c>
      <c r="B819" t="s">
        <v>75</v>
      </c>
      <c r="C819" t="s">
        <v>175</v>
      </c>
      <c r="D819" t="s">
        <v>1419</v>
      </c>
      <c r="E819">
        <v>464982.89371257485</v>
      </c>
      <c r="F819">
        <v>60</v>
      </c>
    </row>
    <row r="820" spans="1:6" x14ac:dyDescent="0.25">
      <c r="A820" s="26" t="s">
        <v>1337</v>
      </c>
      <c r="B820" t="s">
        <v>75</v>
      </c>
      <c r="C820" t="s">
        <v>175</v>
      </c>
      <c r="D820" t="s">
        <v>1419</v>
      </c>
      <c r="E820">
        <v>464982.89371257485</v>
      </c>
      <c r="F820">
        <v>60</v>
      </c>
    </row>
    <row r="821" spans="1:6" x14ac:dyDescent="0.25">
      <c r="A821" s="26" t="s">
        <v>1338</v>
      </c>
      <c r="B821" t="s">
        <v>75</v>
      </c>
      <c r="C821" t="s">
        <v>175</v>
      </c>
      <c r="D821" t="s">
        <v>1419</v>
      </c>
      <c r="E821">
        <v>464982.89371257485</v>
      </c>
      <c r="F821">
        <v>60</v>
      </c>
    </row>
    <row r="822" spans="1:6" x14ac:dyDescent="0.25">
      <c r="A822" s="26" t="s">
        <v>1339</v>
      </c>
      <c r="B822" t="s">
        <v>75</v>
      </c>
      <c r="C822" t="s">
        <v>175</v>
      </c>
      <c r="D822" t="s">
        <v>1419</v>
      </c>
      <c r="E822">
        <v>464982.89371257485</v>
      </c>
      <c r="F822">
        <v>60</v>
      </c>
    </row>
    <row r="823" spans="1:6" x14ac:dyDescent="0.25">
      <c r="A823" s="26" t="s">
        <v>1340</v>
      </c>
      <c r="B823" t="s">
        <v>75</v>
      </c>
      <c r="C823" t="s">
        <v>175</v>
      </c>
      <c r="D823" t="s">
        <v>1419</v>
      </c>
      <c r="E823">
        <v>464982.89371257485</v>
      </c>
      <c r="F823">
        <v>60</v>
      </c>
    </row>
    <row r="824" spans="1:6" x14ac:dyDescent="0.25">
      <c r="A824" s="26" t="s">
        <v>1341</v>
      </c>
      <c r="B824" t="s">
        <v>75</v>
      </c>
      <c r="C824" t="s">
        <v>175</v>
      </c>
      <c r="D824" t="s">
        <v>1419</v>
      </c>
      <c r="E824">
        <v>464982.89371257485</v>
      </c>
      <c r="F824">
        <v>60</v>
      </c>
    </row>
    <row r="825" spans="1:6" x14ac:dyDescent="0.25">
      <c r="A825" s="26" t="s">
        <v>1342</v>
      </c>
      <c r="B825" t="s">
        <v>75</v>
      </c>
      <c r="C825" t="s">
        <v>175</v>
      </c>
      <c r="D825" t="s">
        <v>1419</v>
      </c>
      <c r="E825">
        <v>464982.89371257485</v>
      </c>
      <c r="F825">
        <v>60</v>
      </c>
    </row>
    <row r="826" spans="1:6" x14ac:dyDescent="0.25">
      <c r="A826" s="26" t="s">
        <v>1343</v>
      </c>
      <c r="B826" t="s">
        <v>75</v>
      </c>
      <c r="C826" t="s">
        <v>175</v>
      </c>
      <c r="D826" t="s">
        <v>1419</v>
      </c>
      <c r="E826">
        <v>464982.89371257485</v>
      </c>
      <c r="F826">
        <v>60</v>
      </c>
    </row>
    <row r="827" spans="1:6" x14ac:dyDescent="0.25">
      <c r="A827" s="26" t="s">
        <v>1344</v>
      </c>
      <c r="B827" t="s">
        <v>75</v>
      </c>
      <c r="C827" t="s">
        <v>175</v>
      </c>
      <c r="D827" t="s">
        <v>1419</v>
      </c>
      <c r="E827">
        <v>464982.89371257485</v>
      </c>
      <c r="F827">
        <v>60</v>
      </c>
    </row>
    <row r="828" spans="1:6" x14ac:dyDescent="0.25">
      <c r="A828" s="26" t="s">
        <v>1345</v>
      </c>
      <c r="B828" t="s">
        <v>75</v>
      </c>
      <c r="C828" t="s">
        <v>175</v>
      </c>
      <c r="D828" t="s">
        <v>1419</v>
      </c>
      <c r="E828">
        <v>464982.89371257485</v>
      </c>
      <c r="F828">
        <v>60</v>
      </c>
    </row>
    <row r="829" spans="1:6" x14ac:dyDescent="0.25">
      <c r="A829" s="26" t="s">
        <v>1346</v>
      </c>
      <c r="B829" t="s">
        <v>75</v>
      </c>
      <c r="C829" t="s">
        <v>175</v>
      </c>
      <c r="D829" t="s">
        <v>1419</v>
      </c>
      <c r="E829">
        <v>464982.89371257485</v>
      </c>
      <c r="F829">
        <v>60</v>
      </c>
    </row>
    <row r="830" spans="1:6" x14ac:dyDescent="0.25">
      <c r="A830" s="26" t="s">
        <v>1347</v>
      </c>
      <c r="B830" t="s">
        <v>75</v>
      </c>
      <c r="C830" t="s">
        <v>175</v>
      </c>
      <c r="D830" t="s">
        <v>1419</v>
      </c>
      <c r="E830">
        <v>464982.89371257485</v>
      </c>
      <c r="F830">
        <v>60</v>
      </c>
    </row>
    <row r="831" spans="1:6" x14ac:dyDescent="0.25">
      <c r="A831" s="26" t="s">
        <v>1348</v>
      </c>
      <c r="B831" t="s">
        <v>75</v>
      </c>
      <c r="C831" t="s">
        <v>175</v>
      </c>
      <c r="D831" t="s">
        <v>1419</v>
      </c>
      <c r="E831">
        <v>464982.89371257485</v>
      </c>
      <c r="F831">
        <v>60</v>
      </c>
    </row>
    <row r="832" spans="1:6" x14ac:dyDescent="0.25">
      <c r="A832" s="26" t="s">
        <v>1349</v>
      </c>
      <c r="B832" t="s">
        <v>75</v>
      </c>
      <c r="C832" t="s">
        <v>175</v>
      </c>
      <c r="D832" t="s">
        <v>1419</v>
      </c>
      <c r="E832">
        <v>464982.89371257485</v>
      </c>
      <c r="F832">
        <v>60</v>
      </c>
    </row>
    <row r="833" spans="1:6" x14ac:dyDescent="0.25">
      <c r="A833" s="26" t="s">
        <v>1350</v>
      </c>
      <c r="B833" t="s">
        <v>75</v>
      </c>
      <c r="C833" t="s">
        <v>175</v>
      </c>
      <c r="D833" t="s">
        <v>1419</v>
      </c>
      <c r="E833">
        <v>464982.89371257485</v>
      </c>
      <c r="F833">
        <v>60</v>
      </c>
    </row>
    <row r="834" spans="1:6" x14ac:dyDescent="0.25">
      <c r="A834" s="26" t="s">
        <v>1351</v>
      </c>
      <c r="B834" t="s">
        <v>75</v>
      </c>
      <c r="C834" t="s">
        <v>175</v>
      </c>
      <c r="D834" t="s">
        <v>1419</v>
      </c>
      <c r="E834">
        <v>464982.89371257485</v>
      </c>
      <c r="F834">
        <v>60</v>
      </c>
    </row>
    <row r="835" spans="1:6" x14ac:dyDescent="0.25">
      <c r="A835" s="26" t="s">
        <v>1352</v>
      </c>
      <c r="B835" t="s">
        <v>75</v>
      </c>
      <c r="C835" t="s">
        <v>175</v>
      </c>
      <c r="D835" t="s">
        <v>1419</v>
      </c>
      <c r="E835">
        <v>464982.89371257485</v>
      </c>
      <c r="F835">
        <v>60</v>
      </c>
    </row>
    <row r="836" spans="1:6" x14ac:dyDescent="0.25">
      <c r="A836" s="26" t="s">
        <v>1353</v>
      </c>
      <c r="B836" t="s">
        <v>75</v>
      </c>
      <c r="C836" t="s">
        <v>175</v>
      </c>
      <c r="D836" t="s">
        <v>1419</v>
      </c>
      <c r="E836">
        <v>464982.89371257485</v>
      </c>
      <c r="F836">
        <v>60</v>
      </c>
    </row>
    <row r="837" spans="1:6" x14ac:dyDescent="0.25">
      <c r="A837" s="26" t="s">
        <v>1354</v>
      </c>
      <c r="B837" t="s">
        <v>75</v>
      </c>
      <c r="C837" t="s">
        <v>175</v>
      </c>
      <c r="D837" t="s">
        <v>1419</v>
      </c>
      <c r="E837">
        <v>464982.89371257485</v>
      </c>
      <c r="F837">
        <v>60</v>
      </c>
    </row>
    <row r="838" spans="1:6" x14ac:dyDescent="0.25">
      <c r="A838" s="26" t="s">
        <v>1355</v>
      </c>
      <c r="B838" t="s">
        <v>75</v>
      </c>
      <c r="C838" t="s">
        <v>175</v>
      </c>
      <c r="D838" t="s">
        <v>1419</v>
      </c>
      <c r="E838">
        <v>464982.89371257485</v>
      </c>
      <c r="F838">
        <v>60</v>
      </c>
    </row>
    <row r="839" spans="1:6" x14ac:dyDescent="0.25">
      <c r="A839" s="26" t="s">
        <v>1356</v>
      </c>
      <c r="B839" t="s">
        <v>75</v>
      </c>
      <c r="C839" t="s">
        <v>175</v>
      </c>
      <c r="D839" t="s">
        <v>1419</v>
      </c>
      <c r="E839">
        <v>464982.89371257485</v>
      </c>
      <c r="F839">
        <v>60</v>
      </c>
    </row>
    <row r="840" spans="1:6" x14ac:dyDescent="0.25">
      <c r="A840" s="26" t="s">
        <v>1357</v>
      </c>
      <c r="B840" t="s">
        <v>75</v>
      </c>
      <c r="C840" t="s">
        <v>175</v>
      </c>
      <c r="D840" t="s">
        <v>1419</v>
      </c>
      <c r="E840">
        <v>464982.89371257485</v>
      </c>
      <c r="F840">
        <v>60</v>
      </c>
    </row>
    <row r="841" spans="1:6" x14ac:dyDescent="0.25">
      <c r="A841" s="26" t="s">
        <v>1358</v>
      </c>
      <c r="B841" t="s">
        <v>75</v>
      </c>
      <c r="C841" t="s">
        <v>175</v>
      </c>
      <c r="D841" t="s">
        <v>1419</v>
      </c>
      <c r="E841">
        <v>464982.89371257485</v>
      </c>
      <c r="F841">
        <v>60</v>
      </c>
    </row>
    <row r="842" spans="1:6" x14ac:dyDescent="0.25">
      <c r="A842" s="26" t="s">
        <v>1359</v>
      </c>
      <c r="B842" t="s">
        <v>75</v>
      </c>
      <c r="C842" t="s">
        <v>175</v>
      </c>
      <c r="D842" t="s">
        <v>1419</v>
      </c>
      <c r="E842">
        <v>356611.84880239522</v>
      </c>
      <c r="F842">
        <v>60</v>
      </c>
    </row>
    <row r="843" spans="1:6" x14ac:dyDescent="0.25">
      <c r="A843" s="26" t="s">
        <v>1360</v>
      </c>
      <c r="B843" t="s">
        <v>75</v>
      </c>
      <c r="C843" t="s">
        <v>175</v>
      </c>
      <c r="D843" t="s">
        <v>1419</v>
      </c>
      <c r="E843">
        <v>356611.84880239522</v>
      </c>
      <c r="F843">
        <v>60</v>
      </c>
    </row>
    <row r="844" spans="1:6" x14ac:dyDescent="0.25">
      <c r="A844" s="26" t="s">
        <v>1361</v>
      </c>
      <c r="B844" t="s">
        <v>75</v>
      </c>
      <c r="C844" t="s">
        <v>175</v>
      </c>
      <c r="D844" t="s">
        <v>1419</v>
      </c>
      <c r="E844">
        <v>356611.84880239522</v>
      </c>
      <c r="F844">
        <v>60</v>
      </c>
    </row>
    <row r="845" spans="1:6" x14ac:dyDescent="0.25">
      <c r="A845" s="26" t="s">
        <v>1362</v>
      </c>
      <c r="B845" t="s">
        <v>75</v>
      </c>
      <c r="C845" t="s">
        <v>175</v>
      </c>
      <c r="D845" t="s">
        <v>1419</v>
      </c>
      <c r="E845">
        <v>356611.84880239522</v>
      </c>
      <c r="F845">
        <v>60</v>
      </c>
    </row>
    <row r="846" spans="1:6" x14ac:dyDescent="0.25">
      <c r="A846" s="26" t="s">
        <v>1363</v>
      </c>
      <c r="B846" t="s">
        <v>75</v>
      </c>
      <c r="C846" t="s">
        <v>175</v>
      </c>
      <c r="D846" t="s">
        <v>1419</v>
      </c>
      <c r="E846">
        <v>356611.84880239522</v>
      </c>
      <c r="F846">
        <v>60</v>
      </c>
    </row>
    <row r="847" spans="1:6" x14ac:dyDescent="0.25">
      <c r="A847" s="26" t="s">
        <v>1364</v>
      </c>
      <c r="B847" t="s">
        <v>75</v>
      </c>
      <c r="C847" t="s">
        <v>175</v>
      </c>
      <c r="D847" t="s">
        <v>1419</v>
      </c>
      <c r="E847">
        <v>356611.84880239522</v>
      </c>
      <c r="F847">
        <v>60</v>
      </c>
    </row>
    <row r="848" spans="1:6" x14ac:dyDescent="0.25">
      <c r="A848" s="26" t="s">
        <v>1365</v>
      </c>
      <c r="B848" t="s">
        <v>75</v>
      </c>
      <c r="C848" t="s">
        <v>175</v>
      </c>
      <c r="D848" t="s">
        <v>1419</v>
      </c>
      <c r="E848">
        <v>356611.84880239522</v>
      </c>
      <c r="F848">
        <v>60</v>
      </c>
    </row>
    <row r="849" spans="1:6" x14ac:dyDescent="0.25">
      <c r="A849" s="26" t="s">
        <v>1366</v>
      </c>
      <c r="B849" t="s">
        <v>75</v>
      </c>
      <c r="C849" t="s">
        <v>175</v>
      </c>
      <c r="D849" t="s">
        <v>1419</v>
      </c>
      <c r="E849">
        <v>356611.84880239522</v>
      </c>
      <c r="F849">
        <v>60</v>
      </c>
    </row>
    <row r="850" spans="1:6" x14ac:dyDescent="0.25">
      <c r="A850" s="26" t="s">
        <v>1367</v>
      </c>
      <c r="B850" t="s">
        <v>75</v>
      </c>
      <c r="C850" t="s">
        <v>175</v>
      </c>
      <c r="D850" t="s">
        <v>1419</v>
      </c>
      <c r="E850">
        <v>356611.84880239522</v>
      </c>
      <c r="F850">
        <v>60</v>
      </c>
    </row>
    <row r="851" spans="1:6" x14ac:dyDescent="0.25">
      <c r="A851" s="26" t="s">
        <v>1368</v>
      </c>
      <c r="B851" t="s">
        <v>75</v>
      </c>
      <c r="C851" t="s">
        <v>175</v>
      </c>
      <c r="D851" t="s">
        <v>1419</v>
      </c>
      <c r="E851">
        <v>356611.84880239522</v>
      </c>
      <c r="F851">
        <v>60</v>
      </c>
    </row>
    <row r="852" spans="1:6" x14ac:dyDescent="0.25">
      <c r="A852" s="26" t="s">
        <v>1369</v>
      </c>
      <c r="B852" t="s">
        <v>75</v>
      </c>
      <c r="C852" t="s">
        <v>175</v>
      </c>
      <c r="D852" t="s">
        <v>1419</v>
      </c>
      <c r="E852">
        <v>356611.84880239522</v>
      </c>
      <c r="F852">
        <v>60</v>
      </c>
    </row>
    <row r="853" spans="1:6" x14ac:dyDescent="0.25">
      <c r="A853" s="26" t="s">
        <v>1370</v>
      </c>
      <c r="B853" t="s">
        <v>75</v>
      </c>
      <c r="C853" t="s">
        <v>175</v>
      </c>
      <c r="D853" t="s">
        <v>1419</v>
      </c>
      <c r="E853">
        <v>356611.84880239522</v>
      </c>
      <c r="F853">
        <v>60</v>
      </c>
    </row>
    <row r="854" spans="1:6" x14ac:dyDescent="0.25">
      <c r="A854" s="26" t="s">
        <v>1371</v>
      </c>
      <c r="B854" t="s">
        <v>75</v>
      </c>
      <c r="C854" t="s">
        <v>175</v>
      </c>
      <c r="D854" t="s">
        <v>1419</v>
      </c>
      <c r="E854">
        <v>356611.84880239522</v>
      </c>
      <c r="F854">
        <v>60</v>
      </c>
    </row>
    <row r="855" spans="1:6" x14ac:dyDescent="0.25">
      <c r="A855" s="26" t="s">
        <v>1372</v>
      </c>
      <c r="B855" t="s">
        <v>75</v>
      </c>
      <c r="C855" t="s">
        <v>175</v>
      </c>
      <c r="D855" t="s">
        <v>1419</v>
      </c>
      <c r="E855">
        <v>356611.84880239522</v>
      </c>
      <c r="F855">
        <v>60</v>
      </c>
    </row>
    <row r="856" spans="1:6" x14ac:dyDescent="0.25">
      <c r="A856" s="26" t="s">
        <v>1373</v>
      </c>
      <c r="B856" t="s">
        <v>75</v>
      </c>
      <c r="C856" t="s">
        <v>175</v>
      </c>
      <c r="D856" t="s">
        <v>1419</v>
      </c>
      <c r="E856">
        <v>356611.84880239522</v>
      </c>
      <c r="F856">
        <v>60</v>
      </c>
    </row>
    <row r="857" spans="1:6" x14ac:dyDescent="0.25">
      <c r="A857" s="26" t="s">
        <v>1374</v>
      </c>
      <c r="B857" t="s">
        <v>75</v>
      </c>
      <c r="C857" t="s">
        <v>175</v>
      </c>
      <c r="D857" t="s">
        <v>1419</v>
      </c>
      <c r="E857">
        <v>356611.84880239522</v>
      </c>
      <c r="F857">
        <v>60</v>
      </c>
    </row>
    <row r="858" spans="1:6" x14ac:dyDescent="0.25">
      <c r="A858" s="26" t="s">
        <v>1375</v>
      </c>
      <c r="B858" t="s">
        <v>75</v>
      </c>
      <c r="C858" t="s">
        <v>175</v>
      </c>
      <c r="D858" t="s">
        <v>1419</v>
      </c>
      <c r="E858">
        <v>356611.84880239522</v>
      </c>
      <c r="F858">
        <v>60</v>
      </c>
    </row>
    <row r="859" spans="1:6" x14ac:dyDescent="0.25">
      <c r="A859" s="26" t="s">
        <v>1376</v>
      </c>
      <c r="B859" t="s">
        <v>75</v>
      </c>
      <c r="C859" t="s">
        <v>175</v>
      </c>
      <c r="D859" t="s">
        <v>1419</v>
      </c>
      <c r="E859">
        <v>356611.84880239522</v>
      </c>
      <c r="F859">
        <v>60</v>
      </c>
    </row>
    <row r="860" spans="1:6" x14ac:dyDescent="0.25">
      <c r="A860" s="26" t="s">
        <v>1377</v>
      </c>
      <c r="B860" t="s">
        <v>75</v>
      </c>
      <c r="C860" t="s">
        <v>175</v>
      </c>
      <c r="D860" t="s">
        <v>1419</v>
      </c>
      <c r="E860">
        <v>356611.84880239522</v>
      </c>
      <c r="F860">
        <v>60</v>
      </c>
    </row>
    <row r="861" spans="1:6" x14ac:dyDescent="0.25">
      <c r="A861" s="26" t="s">
        <v>1378</v>
      </c>
      <c r="B861" t="s">
        <v>75</v>
      </c>
      <c r="C861" t="s">
        <v>175</v>
      </c>
      <c r="D861" t="s">
        <v>1419</v>
      </c>
      <c r="E861">
        <v>356611.84880239522</v>
      </c>
      <c r="F861">
        <v>60</v>
      </c>
    </row>
    <row r="862" spans="1:6" x14ac:dyDescent="0.25">
      <c r="A862" s="26" t="s">
        <v>1379</v>
      </c>
      <c r="B862" t="s">
        <v>75</v>
      </c>
      <c r="C862" t="s">
        <v>175</v>
      </c>
      <c r="D862" t="s">
        <v>1419</v>
      </c>
      <c r="E862">
        <v>356611.84880239522</v>
      </c>
      <c r="F862">
        <v>60</v>
      </c>
    </row>
    <row r="863" spans="1:6" x14ac:dyDescent="0.25">
      <c r="A863" s="26" t="s">
        <v>1380</v>
      </c>
      <c r="B863" t="s">
        <v>75</v>
      </c>
      <c r="C863" t="s">
        <v>175</v>
      </c>
      <c r="D863" t="s">
        <v>1419</v>
      </c>
      <c r="E863">
        <v>356611.84880239522</v>
      </c>
      <c r="F863">
        <v>60</v>
      </c>
    </row>
    <row r="864" spans="1:6" x14ac:dyDescent="0.25">
      <c r="A864" s="26" t="s">
        <v>1381</v>
      </c>
      <c r="B864" t="s">
        <v>75</v>
      </c>
      <c r="C864" t="s">
        <v>175</v>
      </c>
      <c r="D864" t="s">
        <v>1419</v>
      </c>
      <c r="E864">
        <v>356611.84880239522</v>
      </c>
      <c r="F864">
        <v>60</v>
      </c>
    </row>
    <row r="865" spans="1:6" x14ac:dyDescent="0.25">
      <c r="A865" s="26" t="s">
        <v>1382</v>
      </c>
      <c r="B865" t="s">
        <v>75</v>
      </c>
      <c r="C865" t="s">
        <v>175</v>
      </c>
      <c r="D865" t="s">
        <v>1419</v>
      </c>
      <c r="E865">
        <v>356611.84880239522</v>
      </c>
      <c r="F865">
        <v>60</v>
      </c>
    </row>
    <row r="866" spans="1:6" x14ac:dyDescent="0.25">
      <c r="A866" s="26" t="s">
        <v>1383</v>
      </c>
      <c r="B866" t="s">
        <v>75</v>
      </c>
      <c r="C866" t="s">
        <v>175</v>
      </c>
      <c r="D866" t="s">
        <v>1419</v>
      </c>
      <c r="E866">
        <v>356611.84880239522</v>
      </c>
      <c r="F866">
        <v>60</v>
      </c>
    </row>
    <row r="867" spans="1:6" x14ac:dyDescent="0.25">
      <c r="A867" s="26" t="s">
        <v>1384</v>
      </c>
      <c r="B867" t="s">
        <v>75</v>
      </c>
      <c r="C867" t="s">
        <v>175</v>
      </c>
      <c r="D867" t="s">
        <v>1419</v>
      </c>
      <c r="E867">
        <v>356611.84880239522</v>
      </c>
      <c r="F867">
        <v>60</v>
      </c>
    </row>
    <row r="868" spans="1:6" x14ac:dyDescent="0.25">
      <c r="A868" s="26" t="s">
        <v>1385</v>
      </c>
      <c r="B868" t="s">
        <v>75</v>
      </c>
      <c r="C868" t="s">
        <v>175</v>
      </c>
      <c r="D868" t="s">
        <v>1419</v>
      </c>
      <c r="E868">
        <v>356611.84880239522</v>
      </c>
      <c r="F868">
        <v>60</v>
      </c>
    </row>
    <row r="869" spans="1:6" x14ac:dyDescent="0.25">
      <c r="A869" s="26" t="s">
        <v>1386</v>
      </c>
      <c r="B869" t="s">
        <v>75</v>
      </c>
      <c r="C869" t="s">
        <v>175</v>
      </c>
      <c r="D869" t="s">
        <v>1419</v>
      </c>
      <c r="E869">
        <v>356611.84880239522</v>
      </c>
      <c r="F869">
        <v>60</v>
      </c>
    </row>
    <row r="870" spans="1:6" x14ac:dyDescent="0.25">
      <c r="A870" s="26" t="s">
        <v>1387</v>
      </c>
      <c r="B870" t="s">
        <v>75</v>
      </c>
      <c r="C870" t="s">
        <v>175</v>
      </c>
      <c r="D870" t="s">
        <v>1419</v>
      </c>
      <c r="E870">
        <v>356611.84880239522</v>
      </c>
      <c r="F870">
        <v>60</v>
      </c>
    </row>
    <row r="871" spans="1:6" x14ac:dyDescent="0.25">
      <c r="A871" s="26" t="s">
        <v>1388</v>
      </c>
      <c r="B871" t="s">
        <v>75</v>
      </c>
      <c r="C871" t="s">
        <v>175</v>
      </c>
      <c r="D871" t="s">
        <v>1419</v>
      </c>
      <c r="E871">
        <v>356611.84880239522</v>
      </c>
      <c r="F871">
        <v>60</v>
      </c>
    </row>
    <row r="872" spans="1:6" x14ac:dyDescent="0.25">
      <c r="A872" s="26" t="s">
        <v>1389</v>
      </c>
      <c r="B872" t="s">
        <v>75</v>
      </c>
      <c r="C872" t="s">
        <v>175</v>
      </c>
      <c r="D872" t="s">
        <v>1419</v>
      </c>
      <c r="E872">
        <v>359764.65419161675</v>
      </c>
      <c r="F872">
        <v>60</v>
      </c>
    </row>
    <row r="873" spans="1:6" x14ac:dyDescent="0.25">
      <c r="A873" s="26" t="s">
        <v>1390</v>
      </c>
      <c r="B873" t="s">
        <v>75</v>
      </c>
      <c r="C873" t="s">
        <v>175</v>
      </c>
      <c r="D873" t="s">
        <v>1419</v>
      </c>
      <c r="E873">
        <v>359764.65419161675</v>
      </c>
      <c r="F873">
        <v>60</v>
      </c>
    </row>
    <row r="874" spans="1:6" x14ac:dyDescent="0.25">
      <c r="A874" s="26" t="s">
        <v>1391</v>
      </c>
      <c r="B874" t="s">
        <v>75</v>
      </c>
      <c r="C874" t="s">
        <v>175</v>
      </c>
      <c r="D874" t="s">
        <v>1419</v>
      </c>
      <c r="E874">
        <v>359764.65419161675</v>
      </c>
      <c r="F874">
        <v>60</v>
      </c>
    </row>
    <row r="875" spans="1:6" x14ac:dyDescent="0.25">
      <c r="A875" s="26" t="s">
        <v>1392</v>
      </c>
      <c r="B875" t="s">
        <v>75</v>
      </c>
      <c r="C875" t="s">
        <v>175</v>
      </c>
      <c r="D875" t="s">
        <v>1419</v>
      </c>
      <c r="E875">
        <v>359764.65419161675</v>
      </c>
      <c r="F875">
        <v>60</v>
      </c>
    </row>
    <row r="876" spans="1:6" x14ac:dyDescent="0.25">
      <c r="A876" s="26" t="s">
        <v>1393</v>
      </c>
      <c r="B876" t="s">
        <v>75</v>
      </c>
      <c r="C876" t="s">
        <v>175</v>
      </c>
      <c r="D876" t="s">
        <v>1419</v>
      </c>
      <c r="E876">
        <v>359764.65419161675</v>
      </c>
      <c r="F876">
        <v>60</v>
      </c>
    </row>
    <row r="877" spans="1:6" x14ac:dyDescent="0.25">
      <c r="A877" s="26" t="s">
        <v>1394</v>
      </c>
      <c r="B877" t="s">
        <v>75</v>
      </c>
      <c r="C877" t="s">
        <v>175</v>
      </c>
      <c r="D877" t="s">
        <v>1419</v>
      </c>
      <c r="E877">
        <v>359764.65419161675</v>
      </c>
      <c r="F877">
        <v>60</v>
      </c>
    </row>
    <row r="878" spans="1:6" x14ac:dyDescent="0.25">
      <c r="A878" s="26" t="s">
        <v>1395</v>
      </c>
      <c r="B878" t="s">
        <v>75</v>
      </c>
      <c r="C878" t="s">
        <v>175</v>
      </c>
      <c r="D878" t="s">
        <v>1419</v>
      </c>
      <c r="E878">
        <v>359764.65419161675</v>
      </c>
      <c r="F878">
        <v>60</v>
      </c>
    </row>
    <row r="879" spans="1:6" x14ac:dyDescent="0.25">
      <c r="A879" s="26" t="s">
        <v>1396</v>
      </c>
      <c r="B879" t="s">
        <v>75</v>
      </c>
      <c r="C879" t="s">
        <v>175</v>
      </c>
      <c r="D879" t="s">
        <v>1419</v>
      </c>
      <c r="E879">
        <v>359764.65419161675</v>
      </c>
      <c r="F879">
        <v>60</v>
      </c>
    </row>
    <row r="880" spans="1:6" x14ac:dyDescent="0.25">
      <c r="A880" s="26" t="s">
        <v>1397</v>
      </c>
      <c r="B880" t="s">
        <v>75</v>
      </c>
      <c r="C880" t="s">
        <v>175</v>
      </c>
      <c r="D880" t="s">
        <v>1419</v>
      </c>
      <c r="E880">
        <v>359764.65419161675</v>
      </c>
      <c r="F880">
        <v>60</v>
      </c>
    </row>
    <row r="881" spans="1:6" x14ac:dyDescent="0.25">
      <c r="A881" s="26" t="s">
        <v>1398</v>
      </c>
      <c r="B881" t="s">
        <v>75</v>
      </c>
      <c r="C881" t="s">
        <v>175</v>
      </c>
      <c r="D881" t="s">
        <v>1419</v>
      </c>
      <c r="E881">
        <v>359764.65419161675</v>
      </c>
      <c r="F881">
        <v>60</v>
      </c>
    </row>
    <row r="882" spans="1:6" x14ac:dyDescent="0.25">
      <c r="A882" s="26" t="s">
        <v>1399</v>
      </c>
      <c r="B882" t="s">
        <v>75</v>
      </c>
      <c r="C882" t="s">
        <v>175</v>
      </c>
      <c r="D882" t="s">
        <v>1419</v>
      </c>
      <c r="E882">
        <v>359764.65419161675</v>
      </c>
      <c r="F882">
        <v>60</v>
      </c>
    </row>
    <row r="883" spans="1:6" x14ac:dyDescent="0.25">
      <c r="A883" s="26" t="s">
        <v>1400</v>
      </c>
      <c r="B883" t="s">
        <v>75</v>
      </c>
      <c r="C883" t="s">
        <v>175</v>
      </c>
      <c r="D883" t="s">
        <v>1419</v>
      </c>
      <c r="E883">
        <v>359764.65419161675</v>
      </c>
      <c r="F883">
        <v>60</v>
      </c>
    </row>
    <row r="884" spans="1:6" x14ac:dyDescent="0.25">
      <c r="A884" s="26" t="s">
        <v>1401</v>
      </c>
      <c r="B884" t="s">
        <v>75</v>
      </c>
      <c r="C884" t="s">
        <v>175</v>
      </c>
      <c r="D884" t="s">
        <v>1419</v>
      </c>
      <c r="E884">
        <v>359764.65419161675</v>
      </c>
      <c r="F884">
        <v>60</v>
      </c>
    </row>
    <row r="885" spans="1:6" x14ac:dyDescent="0.25">
      <c r="A885" s="26" t="s">
        <v>1402</v>
      </c>
      <c r="B885" t="s">
        <v>75</v>
      </c>
      <c r="C885" t="s">
        <v>175</v>
      </c>
      <c r="D885" t="s">
        <v>1419</v>
      </c>
      <c r="E885">
        <v>359764.65419161675</v>
      </c>
      <c r="F885">
        <v>60</v>
      </c>
    </row>
    <row r="886" spans="1:6" x14ac:dyDescent="0.25">
      <c r="A886" s="26" t="s">
        <v>1403</v>
      </c>
      <c r="B886" t="s">
        <v>75</v>
      </c>
      <c r="C886" t="s">
        <v>175</v>
      </c>
      <c r="D886" t="s">
        <v>1419</v>
      </c>
      <c r="E886">
        <v>359764.65419161675</v>
      </c>
      <c r="F886">
        <v>60</v>
      </c>
    </row>
    <row r="887" spans="1:6" x14ac:dyDescent="0.25">
      <c r="A887" s="26" t="s">
        <v>1404</v>
      </c>
      <c r="B887" t="s">
        <v>75</v>
      </c>
      <c r="C887" t="s">
        <v>175</v>
      </c>
      <c r="D887" t="s">
        <v>1419</v>
      </c>
      <c r="E887">
        <v>359764.65419161675</v>
      </c>
      <c r="F887">
        <v>60</v>
      </c>
    </row>
    <row r="888" spans="1:6" x14ac:dyDescent="0.25">
      <c r="A888" s="26" t="s">
        <v>1405</v>
      </c>
      <c r="B888" t="s">
        <v>75</v>
      </c>
      <c r="C888" t="s">
        <v>175</v>
      </c>
      <c r="D888" t="s">
        <v>1419</v>
      </c>
      <c r="E888">
        <v>359764.65419161675</v>
      </c>
      <c r="F888">
        <v>60</v>
      </c>
    </row>
    <row r="889" spans="1:6" x14ac:dyDescent="0.25">
      <c r="A889" s="26" t="s">
        <v>1406</v>
      </c>
      <c r="B889" t="s">
        <v>75</v>
      </c>
      <c r="C889" t="s">
        <v>175</v>
      </c>
      <c r="D889" t="s">
        <v>1419</v>
      </c>
      <c r="E889">
        <v>359764.65419161675</v>
      </c>
      <c r="F889">
        <v>60</v>
      </c>
    </row>
    <row r="890" spans="1:6" x14ac:dyDescent="0.25">
      <c r="A890" s="26" t="s">
        <v>1407</v>
      </c>
      <c r="B890" t="s">
        <v>75</v>
      </c>
      <c r="C890" t="s">
        <v>175</v>
      </c>
      <c r="D890" t="s">
        <v>1419</v>
      </c>
      <c r="E890">
        <v>359764.65419161675</v>
      </c>
      <c r="F890">
        <v>60</v>
      </c>
    </row>
    <row r="891" spans="1:6" x14ac:dyDescent="0.25">
      <c r="A891" s="26" t="s">
        <v>1408</v>
      </c>
      <c r="B891" t="s">
        <v>75</v>
      </c>
      <c r="C891" t="s">
        <v>175</v>
      </c>
      <c r="D891" t="s">
        <v>1419</v>
      </c>
      <c r="E891">
        <v>359764.65419161675</v>
      </c>
      <c r="F891">
        <v>60</v>
      </c>
    </row>
    <row r="892" spans="1:6" x14ac:dyDescent="0.25">
      <c r="A892" s="26" t="s">
        <v>1409</v>
      </c>
      <c r="B892" t="s">
        <v>75</v>
      </c>
      <c r="C892" t="s">
        <v>175</v>
      </c>
      <c r="D892" t="s">
        <v>1419</v>
      </c>
      <c r="E892">
        <v>359764.65419161675</v>
      </c>
      <c r="F892">
        <v>60</v>
      </c>
    </row>
    <row r="893" spans="1:6" x14ac:dyDescent="0.25">
      <c r="A893" s="26" t="s">
        <v>1410</v>
      </c>
      <c r="B893" t="s">
        <v>75</v>
      </c>
      <c r="C893" t="s">
        <v>175</v>
      </c>
      <c r="D893" t="s">
        <v>1419</v>
      </c>
      <c r="E893">
        <v>359764.65419161675</v>
      </c>
      <c r="F893">
        <v>60</v>
      </c>
    </row>
    <row r="894" spans="1:6" x14ac:dyDescent="0.25">
      <c r="A894" s="26" t="s">
        <v>1411</v>
      </c>
      <c r="B894" t="s">
        <v>75</v>
      </c>
      <c r="C894" t="s">
        <v>175</v>
      </c>
      <c r="D894" t="s">
        <v>1419</v>
      </c>
      <c r="E894">
        <v>359764.65419161675</v>
      </c>
      <c r="F894">
        <v>60</v>
      </c>
    </row>
    <row r="895" spans="1:6" x14ac:dyDescent="0.25">
      <c r="A895" s="26" t="s">
        <v>1412</v>
      </c>
      <c r="B895" t="s">
        <v>75</v>
      </c>
      <c r="C895" t="s">
        <v>175</v>
      </c>
      <c r="D895" t="s">
        <v>1419</v>
      </c>
      <c r="E895">
        <v>359764.65419161675</v>
      </c>
      <c r="F895">
        <v>60</v>
      </c>
    </row>
    <row r="896" spans="1:6" x14ac:dyDescent="0.25">
      <c r="A896" s="26" t="s">
        <v>1413</v>
      </c>
      <c r="B896" t="s">
        <v>75</v>
      </c>
      <c r="C896" t="s">
        <v>175</v>
      </c>
      <c r="D896" t="s">
        <v>1419</v>
      </c>
      <c r="E896">
        <v>359764.65419161675</v>
      </c>
      <c r="F896">
        <v>60</v>
      </c>
    </row>
    <row r="897" spans="1:6" x14ac:dyDescent="0.25">
      <c r="A897" s="26" t="s">
        <v>1414</v>
      </c>
      <c r="B897" t="s">
        <v>75</v>
      </c>
      <c r="C897" t="s">
        <v>175</v>
      </c>
      <c r="D897" t="s">
        <v>1419</v>
      </c>
      <c r="E897">
        <v>359764.65419161675</v>
      </c>
      <c r="F897">
        <v>60</v>
      </c>
    </row>
    <row r="898" spans="1:6" x14ac:dyDescent="0.25">
      <c r="A898" s="26" t="s">
        <v>1415</v>
      </c>
      <c r="B898" t="s">
        <v>75</v>
      </c>
      <c r="C898" t="s">
        <v>175</v>
      </c>
      <c r="D898" t="s">
        <v>1419</v>
      </c>
      <c r="E898">
        <v>359764.65419161675</v>
      </c>
      <c r="F898">
        <v>60</v>
      </c>
    </row>
    <row r="899" spans="1:6" x14ac:dyDescent="0.25">
      <c r="A899" s="26" t="s">
        <v>1416</v>
      </c>
      <c r="B899" t="s">
        <v>75</v>
      </c>
      <c r="C899" t="s">
        <v>175</v>
      </c>
      <c r="D899" t="s">
        <v>1419</v>
      </c>
      <c r="E899">
        <v>359764.65419161675</v>
      </c>
      <c r="F899">
        <v>60</v>
      </c>
    </row>
    <row r="900" spans="1:6" x14ac:dyDescent="0.25">
      <c r="A900" s="26" t="s">
        <v>1417</v>
      </c>
      <c r="B900" t="s">
        <v>75</v>
      </c>
      <c r="C900" t="s">
        <v>175</v>
      </c>
      <c r="D900" t="s">
        <v>1419</v>
      </c>
      <c r="E900">
        <v>359764.65419161675</v>
      </c>
      <c r="F900">
        <v>60</v>
      </c>
    </row>
    <row r="901" spans="1:6" x14ac:dyDescent="0.25">
      <c r="A901" s="26" t="s">
        <v>1418</v>
      </c>
      <c r="B901" t="s">
        <v>75</v>
      </c>
      <c r="C901" t="s">
        <v>175</v>
      </c>
      <c r="D901" t="s">
        <v>1419</v>
      </c>
      <c r="E901">
        <v>359764.65419161675</v>
      </c>
      <c r="F901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environmental_data</vt:lpstr>
      <vt:lpstr>sponge_size_uptake_noDSM</vt:lpstr>
      <vt:lpstr>sponge_size_uptake</vt:lpstr>
      <vt:lpstr>strain_info</vt:lpstr>
      <vt:lpstr>percentage_phagocytosis</vt:lpstr>
      <vt:lpstr>percentage_phagocytosis_R</vt:lpstr>
      <vt:lpstr>uptake_rates_raw</vt:lpstr>
      <vt:lpstr>uptake_rates_controls</vt:lpstr>
      <vt:lpstr>uptake_rates_final</vt:lpstr>
      <vt:lpstr>FL_microscopy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Lukka Zenke</dc:creator>
  <cp:lastModifiedBy>Lukka Zenke</cp:lastModifiedBy>
  <dcterms:created xsi:type="dcterms:W3CDTF">2025-08-13T13:44:18Z</dcterms:created>
  <dcterms:modified xsi:type="dcterms:W3CDTF">2026-06-17T11:37:32Z</dcterms:modified>
</cp:coreProperties>
</file>